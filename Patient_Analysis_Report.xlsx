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10.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7.xml" ContentType="application/vnd.ms-office.chartstyle+xml"/>
  <Override PartName="/xl/charts/colors7.xml" ContentType="application/vnd.ms-office.chartcolorstyle+xml"/>
  <Override PartName="/xl/charts/chart12.xml" ContentType="application/vnd.openxmlformats-officedocument.drawingml.chart+xml"/>
  <Override PartName="/xl/charts/style8.xml" ContentType="application/vnd.ms-office.chartstyle+xml"/>
  <Override PartName="/xl/charts/colors8.xml" ContentType="application/vnd.ms-office.chartcolorstyle+xml"/>
  <Override PartName="/xl/charts/chart13.xml" ContentType="application/vnd.openxmlformats-officedocument.drawingml.chart+xml"/>
  <Override PartName="/xl/charts/style9.xml" ContentType="application/vnd.ms-office.chartstyle+xml"/>
  <Override PartName="/xl/charts/colors9.xml" ContentType="application/vnd.ms-office.chartcolorstyle+xml"/>
  <Override PartName="/xl/charts/chart14.xml" ContentType="application/vnd.openxmlformats-officedocument.drawingml.chart+xml"/>
  <Override PartName="/xl/charts/style10.xml" ContentType="application/vnd.ms-office.chartstyle+xml"/>
  <Override PartName="/xl/charts/colors10.xml" ContentType="application/vnd.ms-office.chartcolorstyle+xml"/>
  <Override PartName="/xl/charts/chart15.xml" ContentType="application/vnd.openxmlformats-officedocument.drawingml.chart+xml"/>
  <Override PartName="/xl/charts/style11.xml" ContentType="application/vnd.ms-office.chartstyle+xml"/>
  <Override PartName="/xl/charts/colors11.xml" ContentType="application/vnd.ms-office.chartcolorstyle+xml"/>
  <Override PartName="/xl/charts/chartEx2.xml" ContentType="application/vnd.ms-office.chartex+xml"/>
  <Override PartName="/xl/charts/style12.xml" ContentType="application/vnd.ms-office.chartstyle+xml"/>
  <Override PartName="/xl/charts/colors12.xml" ContentType="application/vnd.ms-office.chartcolorstyle+xml"/>
  <Override PartName="/xl/charts/chartEx3.xml" ContentType="application/vnd.ms-office.chartex+xml"/>
  <Override PartName="/xl/charts/style13.xml" ContentType="application/vnd.ms-office.chartstyle+xml"/>
  <Override PartName="/xl/charts/colors13.xml" ContentType="application/vnd.ms-office.chartcolorstyle+xml"/>
  <Override PartName="/xl/charts/chart16.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91969\Desktop\DASHBOARDS\My_Own_Creation\"/>
    </mc:Choice>
  </mc:AlternateContent>
  <xr:revisionPtr revIDLastSave="0" documentId="13_ncr:1_{C4F0E0DC-752E-4B0C-B59E-0CA455E06C06}" xr6:coauthVersionLast="47" xr6:coauthVersionMax="47" xr10:uidLastSave="{00000000-0000-0000-0000-000000000000}"/>
  <bookViews>
    <workbookView xWindow="-108" yWindow="-108" windowWidth="23256" windowHeight="12456" activeTab="3" xr2:uid="{BE490E3B-88D3-450B-864C-185D8A967A5A}"/>
  </bookViews>
  <sheets>
    <sheet name="Dataset" sheetId="1" r:id="rId1"/>
    <sheet name="Pivot" sheetId="2" r:id="rId2"/>
    <sheet name="Rough" sheetId="4" state="hidden" r:id="rId3"/>
    <sheet name="Dashboard" sheetId="3" r:id="rId4"/>
  </sheets>
  <definedNames>
    <definedName name="_xlchart.v1.3" hidden="1">Pivot!$B$118:$B$123</definedName>
    <definedName name="_xlchart.v1.4" hidden="1">Pivot!$C$117</definedName>
    <definedName name="_xlchart.v1.5" hidden="1">Pivot!$C$118:$C$123</definedName>
    <definedName name="_xlchart.v2.0" hidden="1">Pivot!$B$73:$B$76</definedName>
    <definedName name="_xlchart.v2.1" hidden="1">Pivot!$C$72</definedName>
    <definedName name="_xlchart.v2.2" hidden="1">Pivot!$C$73:$C$76</definedName>
    <definedName name="_xlchart.v2.6" hidden="1">Pivot!$B$17:$B$20</definedName>
    <definedName name="_xlchart.v2.7" hidden="1">Pivot!$C$16</definedName>
    <definedName name="_xlchart.v2.8" hidden="1">Pivot!$C$17:$C$20</definedName>
    <definedName name="_xlcn.WorksheetConnection_Current_DB_Working.xlsxTable21" hidden="1">Dataset!$A$1:$J$201</definedName>
    <definedName name="Average_of_Age">Pivot!$C$3</definedName>
    <definedName name="Average_of_Hospital_Stay__Days">Pivot!$F$3</definedName>
    <definedName name="Average_of_Recovery_Score">Pivot!$E$3</definedName>
    <definedName name="Average_of_Treatment_Cost">Pivot!$D$3</definedName>
    <definedName name="Slicer_Age_Group">#N/A</definedName>
    <definedName name="Slicer_Department">#N/A</definedName>
    <definedName name="Slicer_Doctor_Name">#N/A</definedName>
    <definedName name="Slicer_Gender">#N/A</definedName>
    <definedName name="Slicer_Treatment_Type">#N/A</definedName>
    <definedName name="Total_Patients">Pivot!$B$3</definedName>
  </definedNames>
  <calcPr calcId="191029"/>
  <pivotCaches>
    <pivotCache cacheId="1448" r:id="rId5"/>
    <pivotCache cacheId="1451" r:id="rId6"/>
    <pivotCache cacheId="1454" r:id="rId7"/>
    <pivotCache cacheId="1457" r:id="rId8"/>
    <pivotCache cacheId="1460" r:id="rId9"/>
    <pivotCache cacheId="1463" r:id="rId10"/>
    <pivotCache cacheId="1466" r:id="rId11"/>
    <pivotCache cacheId="1469" r:id="rId12"/>
    <pivotCache cacheId="1472" r:id="rId13"/>
    <pivotCache cacheId="1475" r:id="rId14"/>
    <pivotCache cacheId="1478" r:id="rId15"/>
    <pivotCache cacheId="1481" r:id="rId16"/>
    <pivotCache cacheId="1484" r:id="rId17"/>
    <pivotCache cacheId="1487" r:id="rId18"/>
    <pivotCache cacheId="1490" r:id="rId19"/>
    <pivotCache cacheId="1493" r:id="rId20"/>
    <pivotCache cacheId="1496" r:id="rId21"/>
    <pivotCache cacheId="1499" r:id="rId22"/>
    <pivotCache cacheId="1502" r:id="rId23"/>
  </pivotCaches>
  <extLst>
    <ext xmlns:x14="http://schemas.microsoft.com/office/spreadsheetml/2009/9/main" uri="{876F7934-8845-4945-9796-88D515C7AA90}">
      <x14:pivotCaches>
        <pivotCache cacheId="19" r:id="rId24"/>
        <pivotCache cacheId="20" r:id="rId25"/>
      </x14:pivotCaches>
    </ext>
    <ext xmlns:x14="http://schemas.microsoft.com/office/spreadsheetml/2009/9/main" uri="{BBE1A952-AA13-448e-AADC-164F8A28A991}">
      <x14:slicerCaches>
        <x14:slicerCache r:id="rId26"/>
        <x14:slicerCache r:id="rId27"/>
        <x14:slicerCache r:id="rId28"/>
        <x14:slicerCache r:id="rId29"/>
        <x14:slicerCache r:id="rId3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2" name="Table2" connection="WorksheetConnection_Current_DB_Working.xlsx!Table2"/>
        </x15:modelTables>
      </x15:dataModel>
    </ext>
  </extLst>
</workbook>
</file>

<file path=xl/calcChain.xml><?xml version="1.0" encoding="utf-8"?>
<calcChain xmlns="http://schemas.openxmlformats.org/spreadsheetml/2006/main">
  <c r="G3" i="1" l="1"/>
  <c r="G2"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6887B6A-A94E-4B62-92EC-DA259DC303D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157AB88-7864-4492-B318-9DB375186CA1}" name="WorksheetConnection_Current_DB_Working.xlsx!Table2" type="102" refreshedVersion="8" minRefreshableVersion="5">
    <extLst>
      <ext xmlns:x15="http://schemas.microsoft.com/office/spreadsheetml/2010/11/main" uri="{DE250136-89BD-433C-8126-D09CA5730AF9}">
        <x15:connection id="Table2" autoDelete="1">
          <x15:rangePr sourceName="_xlcn.WorksheetConnection_Current_DB_Working.xlsxTable21"/>
        </x15:connection>
      </ext>
    </extLst>
  </connection>
</connections>
</file>

<file path=xl/sharedStrings.xml><?xml version="1.0" encoding="utf-8"?>
<sst xmlns="http://schemas.openxmlformats.org/spreadsheetml/2006/main" count="1174" uniqueCount="258">
  <si>
    <t>Patient ID</t>
  </si>
  <si>
    <t>Department</t>
  </si>
  <si>
    <t>Treatment Type</t>
  </si>
  <si>
    <t>Doctor Name</t>
  </si>
  <si>
    <t>Gender</t>
  </si>
  <si>
    <t>Age</t>
  </si>
  <si>
    <t>Treatment Cost</t>
  </si>
  <si>
    <t>Hospital Stay (Days)</t>
  </si>
  <si>
    <t>Recovery Score</t>
  </si>
  <si>
    <t>P1001</t>
  </si>
  <si>
    <t>Gastroenterology</t>
  </si>
  <si>
    <t>Therapy</t>
  </si>
  <si>
    <t>Dr. L. Khan</t>
  </si>
  <si>
    <t>Female</t>
  </si>
  <si>
    <t>P1002</t>
  </si>
  <si>
    <t>Pediatrics</t>
  </si>
  <si>
    <t>Medication</t>
  </si>
  <si>
    <t>Dr. M. Patel</t>
  </si>
  <si>
    <t>Male</t>
  </si>
  <si>
    <t>P1003</t>
  </si>
  <si>
    <t>P1004</t>
  </si>
  <si>
    <t>P1005</t>
  </si>
  <si>
    <t>Orthopedics</t>
  </si>
  <si>
    <t>Dr. T. Mehta</t>
  </si>
  <si>
    <t>P1006</t>
  </si>
  <si>
    <t>Cardiology</t>
  </si>
  <si>
    <t>Dr. A. Sharma</t>
  </si>
  <si>
    <t>P1007</t>
  </si>
  <si>
    <t>Observation</t>
  </si>
  <si>
    <t>Other</t>
  </si>
  <si>
    <t>P1008</t>
  </si>
  <si>
    <t>Neurology</t>
  </si>
  <si>
    <t>Dr. R. Singh</t>
  </si>
  <si>
    <t>P1009</t>
  </si>
  <si>
    <t>P1010</t>
  </si>
  <si>
    <t>P1011</t>
  </si>
  <si>
    <t>Oncology</t>
  </si>
  <si>
    <t>P1012</t>
  </si>
  <si>
    <t>P1013</t>
  </si>
  <si>
    <t>P1014</t>
  </si>
  <si>
    <t>P1015</t>
  </si>
  <si>
    <t>Surgery</t>
  </si>
  <si>
    <t>P1016</t>
  </si>
  <si>
    <t>P1017</t>
  </si>
  <si>
    <t>P1018</t>
  </si>
  <si>
    <t>P1019</t>
  </si>
  <si>
    <t>P1020</t>
  </si>
  <si>
    <t>P1021</t>
  </si>
  <si>
    <t>P1022</t>
  </si>
  <si>
    <t>P1023</t>
  </si>
  <si>
    <t>P1024</t>
  </si>
  <si>
    <t>P1025</t>
  </si>
  <si>
    <t>P1026</t>
  </si>
  <si>
    <t>P1027</t>
  </si>
  <si>
    <t>P1028</t>
  </si>
  <si>
    <t>P1029</t>
  </si>
  <si>
    <t>P1030</t>
  </si>
  <si>
    <t>P1031</t>
  </si>
  <si>
    <t>P1032</t>
  </si>
  <si>
    <t>P1033</t>
  </si>
  <si>
    <t>P1034</t>
  </si>
  <si>
    <t>P1035</t>
  </si>
  <si>
    <t>P1036</t>
  </si>
  <si>
    <t>P1037</t>
  </si>
  <si>
    <t>P1038</t>
  </si>
  <si>
    <t>P1039</t>
  </si>
  <si>
    <t>P1040</t>
  </si>
  <si>
    <t>P1041</t>
  </si>
  <si>
    <t>P1042</t>
  </si>
  <si>
    <t>P1043</t>
  </si>
  <si>
    <t>P1044</t>
  </si>
  <si>
    <t>P1045</t>
  </si>
  <si>
    <t>P1046</t>
  </si>
  <si>
    <t>P1047</t>
  </si>
  <si>
    <t>P1048</t>
  </si>
  <si>
    <t>P1049</t>
  </si>
  <si>
    <t>P1050</t>
  </si>
  <si>
    <t>P1051</t>
  </si>
  <si>
    <t>P1052</t>
  </si>
  <si>
    <t>P1053</t>
  </si>
  <si>
    <t>P1054</t>
  </si>
  <si>
    <t>P1055</t>
  </si>
  <si>
    <t>P1056</t>
  </si>
  <si>
    <t>P1057</t>
  </si>
  <si>
    <t>P1058</t>
  </si>
  <si>
    <t>P1059</t>
  </si>
  <si>
    <t>P1060</t>
  </si>
  <si>
    <t>P1061</t>
  </si>
  <si>
    <t>P1062</t>
  </si>
  <si>
    <t>P1063</t>
  </si>
  <si>
    <t>P1064</t>
  </si>
  <si>
    <t>P1065</t>
  </si>
  <si>
    <t>P1066</t>
  </si>
  <si>
    <t>P1067</t>
  </si>
  <si>
    <t>P1068</t>
  </si>
  <si>
    <t>P1069</t>
  </si>
  <si>
    <t>P1070</t>
  </si>
  <si>
    <t>P1071</t>
  </si>
  <si>
    <t>P1072</t>
  </si>
  <si>
    <t>P1073</t>
  </si>
  <si>
    <t>P1074</t>
  </si>
  <si>
    <t>P1075</t>
  </si>
  <si>
    <t>P1076</t>
  </si>
  <si>
    <t>P1077</t>
  </si>
  <si>
    <t>P1078</t>
  </si>
  <si>
    <t>P1079</t>
  </si>
  <si>
    <t>P1080</t>
  </si>
  <si>
    <t>P1081</t>
  </si>
  <si>
    <t>P1082</t>
  </si>
  <si>
    <t>P1083</t>
  </si>
  <si>
    <t>P1084</t>
  </si>
  <si>
    <t>P1085</t>
  </si>
  <si>
    <t>P1086</t>
  </si>
  <si>
    <t>P1087</t>
  </si>
  <si>
    <t>P1088</t>
  </si>
  <si>
    <t>P1089</t>
  </si>
  <si>
    <t>P1090</t>
  </si>
  <si>
    <t>P1091</t>
  </si>
  <si>
    <t>P1092</t>
  </si>
  <si>
    <t>P1093</t>
  </si>
  <si>
    <t>P1094</t>
  </si>
  <si>
    <t>P1095</t>
  </si>
  <si>
    <t>P1096</t>
  </si>
  <si>
    <t>P1097</t>
  </si>
  <si>
    <t>P1098</t>
  </si>
  <si>
    <t>P1099</t>
  </si>
  <si>
    <t>P1100</t>
  </si>
  <si>
    <t>P1101</t>
  </si>
  <si>
    <t>P1102</t>
  </si>
  <si>
    <t>P1103</t>
  </si>
  <si>
    <t>P1104</t>
  </si>
  <si>
    <t>P1105</t>
  </si>
  <si>
    <t>P1106</t>
  </si>
  <si>
    <t>P1107</t>
  </si>
  <si>
    <t>P1108</t>
  </si>
  <si>
    <t>P1109</t>
  </si>
  <si>
    <t>P1110</t>
  </si>
  <si>
    <t>P1111</t>
  </si>
  <si>
    <t>P1112</t>
  </si>
  <si>
    <t>P1113</t>
  </si>
  <si>
    <t>P1114</t>
  </si>
  <si>
    <t>P1115</t>
  </si>
  <si>
    <t>P1116</t>
  </si>
  <si>
    <t>P1117</t>
  </si>
  <si>
    <t>P1118</t>
  </si>
  <si>
    <t>P1119</t>
  </si>
  <si>
    <t>P1120</t>
  </si>
  <si>
    <t>P1121</t>
  </si>
  <si>
    <t>P1122</t>
  </si>
  <si>
    <t>P1123</t>
  </si>
  <si>
    <t>P1124</t>
  </si>
  <si>
    <t>P1125</t>
  </si>
  <si>
    <t>P1126</t>
  </si>
  <si>
    <t>P1127</t>
  </si>
  <si>
    <t>P1128</t>
  </si>
  <si>
    <t>P1129</t>
  </si>
  <si>
    <t>P1130</t>
  </si>
  <si>
    <t>P1131</t>
  </si>
  <si>
    <t>P1132</t>
  </si>
  <si>
    <t>P1133</t>
  </si>
  <si>
    <t>P1134</t>
  </si>
  <si>
    <t>P1135</t>
  </si>
  <si>
    <t>P1136</t>
  </si>
  <si>
    <t>P1137</t>
  </si>
  <si>
    <t>P1138</t>
  </si>
  <si>
    <t>P1139</t>
  </si>
  <si>
    <t>P1140</t>
  </si>
  <si>
    <t>P1141</t>
  </si>
  <si>
    <t>P1142</t>
  </si>
  <si>
    <t>P1143</t>
  </si>
  <si>
    <t>P1144</t>
  </si>
  <si>
    <t>P1145</t>
  </si>
  <si>
    <t>P1146</t>
  </si>
  <si>
    <t>P1147</t>
  </si>
  <si>
    <t>P1148</t>
  </si>
  <si>
    <t>P1149</t>
  </si>
  <si>
    <t>P1150</t>
  </si>
  <si>
    <t>P1151</t>
  </si>
  <si>
    <t>P1152</t>
  </si>
  <si>
    <t>P1153</t>
  </si>
  <si>
    <t>P1154</t>
  </si>
  <si>
    <t>P1155</t>
  </si>
  <si>
    <t>P1156</t>
  </si>
  <si>
    <t>P1157</t>
  </si>
  <si>
    <t>P1158</t>
  </si>
  <si>
    <t>P1159</t>
  </si>
  <si>
    <t>P1160</t>
  </si>
  <si>
    <t>P1161</t>
  </si>
  <si>
    <t>P1162</t>
  </si>
  <si>
    <t>P1163</t>
  </si>
  <si>
    <t>P1164</t>
  </si>
  <si>
    <t>P1165</t>
  </si>
  <si>
    <t>P1166</t>
  </si>
  <si>
    <t>P1167</t>
  </si>
  <si>
    <t>P1168</t>
  </si>
  <si>
    <t>P1169</t>
  </si>
  <si>
    <t>P1170</t>
  </si>
  <si>
    <t>P1171</t>
  </si>
  <si>
    <t>P1172</t>
  </si>
  <si>
    <t>P1173</t>
  </si>
  <si>
    <t>P1174</t>
  </si>
  <si>
    <t>P1175</t>
  </si>
  <si>
    <t>P1176</t>
  </si>
  <si>
    <t>P1177</t>
  </si>
  <si>
    <t>P1178</t>
  </si>
  <si>
    <t>P1179</t>
  </si>
  <si>
    <t>P1180</t>
  </si>
  <si>
    <t>P1181</t>
  </si>
  <si>
    <t>P1182</t>
  </si>
  <si>
    <t>P1183</t>
  </si>
  <si>
    <t>P1184</t>
  </si>
  <si>
    <t>P1185</t>
  </si>
  <si>
    <t>P1186</t>
  </si>
  <si>
    <t>P1187</t>
  </si>
  <si>
    <t>P1188</t>
  </si>
  <si>
    <t>P1189</t>
  </si>
  <si>
    <t>P1190</t>
  </si>
  <si>
    <t>P1191</t>
  </si>
  <si>
    <t>P1192</t>
  </si>
  <si>
    <t>P1193</t>
  </si>
  <si>
    <t>P1194</t>
  </si>
  <si>
    <t>P1195</t>
  </si>
  <si>
    <t>P1196</t>
  </si>
  <si>
    <t>P1197</t>
  </si>
  <si>
    <t>P1198</t>
  </si>
  <si>
    <t>P1199</t>
  </si>
  <si>
    <t>P1200</t>
  </si>
  <si>
    <t>Average of Age</t>
  </si>
  <si>
    <t>Average of Treatment Cost</t>
  </si>
  <si>
    <t>Average of Recovery Score</t>
  </si>
  <si>
    <t>Average of Hospital Stay (Days)</t>
  </si>
  <si>
    <t>Total Patients</t>
  </si>
  <si>
    <t>Row Labels</t>
  </si>
  <si>
    <t>Column Labels</t>
  </si>
  <si>
    <t>Count of Gender</t>
  </si>
  <si>
    <t>Key Indicators</t>
  </si>
  <si>
    <t>Gender distribution by department</t>
  </si>
  <si>
    <t>Sum of Treatment Cost</t>
  </si>
  <si>
    <t>Sum of Recovery Score</t>
  </si>
  <si>
    <t>Count of Patient ID</t>
  </si>
  <si>
    <t>Patient count by dept</t>
  </si>
  <si>
    <t>High cost treatment type</t>
  </si>
  <si>
    <t>Min of Recovery Score</t>
  </si>
  <si>
    <t>Max of Recovery Score</t>
  </si>
  <si>
    <t>Dept vs Avg age</t>
  </si>
  <si>
    <t>Rec score by dept - avg, min, max</t>
  </si>
  <si>
    <t>Doctor name vs  Avg treatment cost</t>
  </si>
  <si>
    <t>Treatment type vs Avg treatment cost</t>
  </si>
  <si>
    <t>Treatment type vs Avg rec score</t>
  </si>
  <si>
    <t>Doctor name vs Avg rec score</t>
  </si>
  <si>
    <t>Treatment type  vs Avg age</t>
  </si>
  <si>
    <t>Age Group</t>
  </si>
  <si>
    <t>Adult</t>
  </si>
  <si>
    <t>Child</t>
  </si>
  <si>
    <t>Middle-aged Adult</t>
  </si>
  <si>
    <t>Senior Citizen/Elderly</t>
  </si>
  <si>
    <t>Teenager/Adolescent</t>
  </si>
  <si>
    <t>Young Adult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</si>
</sst>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_-[$$-409]* #,##0.00_ ;_-[$$-409]* \-#,##0.00\ ;_-[$$-409]* &quot;-&quot;??_ ;_-@_ "/>
  </numFmts>
  <fonts count="4">
    <font>
      <sz val="11"/>
      <color theme="1"/>
      <name val="Calibri"/>
      <family val="2"/>
      <scheme val="minor"/>
    </font>
    <font>
      <sz val="11"/>
      <color theme="0"/>
      <name val="Calibri"/>
      <family val="2"/>
      <scheme val="minor"/>
    </font>
    <font>
      <sz val="11"/>
      <color indexed="8"/>
      <name val="Calibri"/>
      <family val="2"/>
      <charset val="134"/>
    </font>
    <font>
      <b/>
      <sz val="11"/>
      <color theme="0"/>
      <name val="Calibri"/>
      <family val="2"/>
    </font>
  </fonts>
  <fills count="4">
    <fill>
      <patternFill patternType="none"/>
    </fill>
    <fill>
      <patternFill patternType="gray125"/>
    </fill>
    <fill>
      <patternFill patternType="solid">
        <fgColor theme="0" tint="-0.14999847407452621"/>
        <bgColor theme="0" tint="-0.14999847407452621"/>
      </patternFill>
    </fill>
    <fill>
      <patternFill patternType="solid">
        <fgColor theme="1"/>
        <bgColor theme="1"/>
      </patternFill>
    </fill>
  </fills>
  <borders count="2">
    <border>
      <left/>
      <right/>
      <top/>
      <bottom/>
      <diagonal/>
    </border>
    <border>
      <left/>
      <right/>
      <top style="thin">
        <color theme="1"/>
      </top>
      <bottom/>
      <diagonal/>
    </border>
  </borders>
  <cellStyleXfs count="1">
    <xf numFmtId="0" fontId="0" fillId="0" borderId="0"/>
  </cellStyleXfs>
  <cellXfs count="18">
    <xf numFmtId="0" fontId="0" fillId="0" borderId="0" xfId="0"/>
    <xf numFmtId="0" fontId="1"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center"/>
    </xf>
    <xf numFmtId="164" fontId="0" fillId="0" borderId="0" xfId="0" applyNumberFormat="1" applyAlignment="1">
      <alignment horizontal="center"/>
    </xf>
    <xf numFmtId="0" fontId="0" fillId="0" borderId="0" xfId="0" pivotButton="1" applyAlignment="1">
      <alignment horizontal="center"/>
    </xf>
    <xf numFmtId="2" fontId="0" fillId="0" borderId="0" xfId="0" applyNumberFormat="1" applyAlignment="1">
      <alignment horizontal="center"/>
    </xf>
    <xf numFmtId="0" fontId="2" fillId="2" borderId="1" xfId="0" applyFont="1" applyFill="1" applyBorder="1" applyAlignment="1">
      <alignment vertical="center"/>
    </xf>
    <xf numFmtId="0" fontId="2" fillId="0" borderId="1" xfId="0" applyFont="1" applyBorder="1" applyAlignment="1">
      <alignment vertical="center"/>
    </xf>
    <xf numFmtId="0" fontId="3" fillId="3" borderId="0" xfId="0" applyFont="1" applyFill="1" applyAlignment="1">
      <alignment vertical="center"/>
    </xf>
    <xf numFmtId="164" fontId="0" fillId="0" borderId="0" xfId="0" applyNumberFormat="1"/>
    <xf numFmtId="165" fontId="2" fillId="2" borderId="1" xfId="0" applyNumberFormat="1" applyFont="1" applyFill="1" applyBorder="1" applyAlignment="1">
      <alignment vertical="center"/>
    </xf>
    <xf numFmtId="165" fontId="2" fillId="0" borderId="1" xfId="0" applyNumberFormat="1" applyFont="1" applyBorder="1" applyAlignment="1">
      <alignment vertical="center"/>
    </xf>
    <xf numFmtId="165" fontId="0" fillId="0" borderId="0" xfId="0" applyNumberFormat="1" applyAlignment="1">
      <alignment horizontal="center"/>
    </xf>
    <xf numFmtId="0" fontId="0" fillId="0" borderId="0" xfId="0" applyNumberFormat="1"/>
    <xf numFmtId="0" fontId="0" fillId="0" borderId="0" xfId="0" applyNumberFormat="1" applyAlignment="1">
      <alignment horizontal="center"/>
    </xf>
  </cellXfs>
  <cellStyles count="1">
    <cellStyle name="Normal" xfId="0" builtinId="0"/>
  </cellStyles>
  <dxfs count="1383">
    <dxf>
      <alignment horizontal="center"/>
    </dxf>
    <dxf>
      <alignment horizontal="center"/>
    </dxf>
    <dxf>
      <alignment horizontal="center"/>
    </dxf>
    <dxf>
      <numFmt numFmtId="0" formatCode="General"/>
    </dxf>
    <dxf>
      <alignment horizontal="center"/>
    </dxf>
    <dxf>
      <alignment horizontal="center"/>
    </dxf>
    <dxf>
      <alignment horizontal="center"/>
    </dxf>
    <dxf>
      <numFmt numFmtId="164"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0.0"/>
    </dxf>
    <dxf>
      <numFmt numFmtId="164" formatCode="0.0"/>
    </dxf>
    <dxf>
      <alignment horizontal="center"/>
    </dxf>
    <dxf>
      <alignment horizontal="center"/>
    </dxf>
    <dxf>
      <alignment horizontal="center"/>
    </dxf>
    <dxf>
      <alignment horizontal="center"/>
    </dxf>
    <dxf>
      <alignment horizontal="center"/>
    </dxf>
    <dxf>
      <numFmt numFmtId="164" formatCode="0.0"/>
    </dxf>
    <dxf>
      <alignment horizontal="center"/>
    </dxf>
    <dxf>
      <alignment horizontal="center"/>
    </dxf>
    <dxf>
      <alignment horizontal="center"/>
    </dxf>
    <dxf>
      <alignment horizontal="center"/>
    </dxf>
    <dxf>
      <alignment horizontal="center"/>
    </dxf>
    <dxf>
      <numFmt numFmtId="165" formatCode="_-[$$-409]* #,##0.00_ ;_-[$$-409]* \-#,##0.00\ ;_-[$$-409]* &quot;-&quot;??_ ;_-@_ "/>
    </dxf>
    <dxf>
      <alignment horizontal="center"/>
    </dxf>
    <dxf>
      <alignment horizontal="center"/>
    </dxf>
    <dxf>
      <alignment horizontal="center"/>
    </dxf>
    <dxf>
      <alignment horizontal="center"/>
    </dxf>
    <dxf>
      <alignment horizontal="center"/>
    </dxf>
    <dxf>
      <numFmt numFmtId="164" formatCode="0.0"/>
    </dxf>
    <dxf>
      <alignment horizontal="center"/>
    </dxf>
    <dxf>
      <alignment horizontal="center"/>
    </dxf>
    <dxf>
      <alignment horizontal="center"/>
    </dxf>
    <dxf>
      <alignment horizontal="center"/>
    </dxf>
    <dxf>
      <alignment horizontal="center"/>
    </dxf>
    <dxf>
      <alignment horizontal="center"/>
    </dxf>
    <dxf>
      <numFmt numFmtId="165" formatCode="_-[$$-409]* #,##0.00_ ;_-[$$-409]* \-#,##0.00\ ;_-[$$-409]* &quot;-&quot;??_ ;_-@_ "/>
    </dxf>
    <dxf>
      <alignment horizontal="center"/>
    </dxf>
    <dxf>
      <alignment horizontal="center"/>
    </dxf>
    <dxf>
      <alignment horizontal="center"/>
    </dxf>
    <dxf>
      <alignment horizontal="center"/>
    </dxf>
    <dxf>
      <alignment horizontal="center"/>
    </dxf>
    <dxf>
      <numFmt numFmtId="164" formatCode="0.0"/>
    </dxf>
    <dxf>
      <alignment horizontal="center"/>
    </dxf>
    <dxf>
      <alignment horizontal="center"/>
    </dxf>
    <dxf>
      <alignment horizontal="center"/>
    </dxf>
    <dxf>
      <alignment horizontal="center"/>
    </dxf>
    <dxf>
      <alignment horizontal="center"/>
    </dxf>
    <dxf>
      <numFmt numFmtId="164" formatCode="0.0"/>
    </dxf>
    <dxf>
      <alignment horizontal="center"/>
    </dxf>
    <dxf>
      <alignment horizontal="center"/>
    </dxf>
    <dxf>
      <alignment horizontal="center"/>
    </dxf>
    <dxf>
      <alignment horizontal="center"/>
    </dxf>
    <dxf>
      <alignment horizontal="center"/>
    </dxf>
    <dxf>
      <numFmt numFmtId="166" formatCode="0.0000000"/>
    </dxf>
    <dxf>
      <numFmt numFmtId="164" formatCode="0.0"/>
    </dxf>
    <dxf>
      <numFmt numFmtId="164" formatCode="0.0"/>
    </dxf>
    <dxf>
      <alignment horizontal="center"/>
    </dxf>
    <dxf>
      <alignment horizontal="center"/>
    </dxf>
    <dxf>
      <alignment horizontal="center"/>
    </dxf>
    <dxf>
      <numFmt numFmtId="165" formatCode="_-[$$-409]* #,##0.00_ ;_-[$$-409]* \-#,##0.00\ ;_-[$$-409]* &quot;-&quot;??_ ;_-@_ "/>
    </dxf>
    <dxf>
      <numFmt numFmtId="2" formatCode="0.00"/>
    </dxf>
    <dxf>
      <alignment horizontal="center"/>
    </dxf>
    <dxf>
      <alignment horizontal="center"/>
    </dxf>
    <dxf>
      <alignment horizontal="center"/>
    </dxf>
    <dxf>
      <alignment horizontal="center"/>
    </dxf>
    <dxf>
      <alignment horizontal="center"/>
    </dxf>
    <dxf>
      <alignment horizontal="center"/>
    </dxf>
    <dxf>
      <numFmt numFmtId="0" formatCode="General"/>
    </dxf>
    <dxf>
      <alignment horizontal="center"/>
    </dxf>
    <dxf>
      <alignment horizontal="center"/>
    </dxf>
    <dxf>
      <alignment horizontal="center"/>
    </dxf>
    <dxf>
      <numFmt numFmtId="164"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0.0"/>
    </dxf>
    <dxf>
      <numFmt numFmtId="164" formatCode="0.0"/>
    </dxf>
    <dxf>
      <alignment horizontal="center"/>
    </dxf>
    <dxf>
      <alignment horizontal="center"/>
    </dxf>
    <dxf>
      <alignment horizontal="center"/>
    </dxf>
    <dxf>
      <alignment horizontal="center"/>
    </dxf>
    <dxf>
      <alignment horizontal="center"/>
    </dxf>
    <dxf>
      <numFmt numFmtId="164" formatCode="0.0"/>
    </dxf>
    <dxf>
      <alignment horizontal="center"/>
    </dxf>
    <dxf>
      <alignment horizontal="center"/>
    </dxf>
    <dxf>
      <alignment horizontal="center"/>
    </dxf>
    <dxf>
      <alignment horizontal="center"/>
    </dxf>
    <dxf>
      <alignment horizontal="center"/>
    </dxf>
    <dxf>
      <numFmt numFmtId="165" formatCode="_-[$$-409]* #,##0.00_ ;_-[$$-409]* \-#,##0.00\ ;_-[$$-409]* &quot;-&quot;??_ ;_-@_ "/>
    </dxf>
    <dxf>
      <alignment horizontal="center"/>
    </dxf>
    <dxf>
      <alignment horizontal="center"/>
    </dxf>
    <dxf>
      <alignment horizontal="center"/>
    </dxf>
    <dxf>
      <alignment horizontal="center"/>
    </dxf>
    <dxf>
      <alignment horizontal="center"/>
    </dxf>
    <dxf>
      <numFmt numFmtId="164" formatCode="0.0"/>
    </dxf>
    <dxf>
      <alignment horizontal="center"/>
    </dxf>
    <dxf>
      <alignment horizontal="center"/>
    </dxf>
    <dxf>
      <alignment horizontal="center"/>
    </dxf>
    <dxf>
      <alignment horizontal="center"/>
    </dxf>
    <dxf>
      <alignment horizontal="center"/>
    </dxf>
    <dxf>
      <alignment horizontal="center"/>
    </dxf>
    <dxf>
      <numFmt numFmtId="165" formatCode="_-[$$-409]* #,##0.00_ ;_-[$$-409]* \-#,##0.00\ ;_-[$$-409]* &quot;-&quot;??_ ;_-@_ "/>
    </dxf>
    <dxf>
      <alignment horizontal="center"/>
    </dxf>
    <dxf>
      <alignment horizontal="center"/>
    </dxf>
    <dxf>
      <alignment horizontal="center"/>
    </dxf>
    <dxf>
      <alignment horizontal="center"/>
    </dxf>
    <dxf>
      <alignment horizontal="center"/>
    </dxf>
    <dxf>
      <numFmt numFmtId="164" formatCode="0.0"/>
    </dxf>
    <dxf>
      <alignment horizontal="center"/>
    </dxf>
    <dxf>
      <alignment horizontal="center"/>
    </dxf>
    <dxf>
      <alignment horizontal="center"/>
    </dxf>
    <dxf>
      <alignment horizontal="center"/>
    </dxf>
    <dxf>
      <alignment horizontal="center"/>
    </dxf>
    <dxf>
      <numFmt numFmtId="164" formatCode="0.0"/>
    </dxf>
    <dxf>
      <alignment horizontal="center"/>
    </dxf>
    <dxf>
      <alignment horizontal="center"/>
    </dxf>
    <dxf>
      <alignment horizontal="center"/>
    </dxf>
    <dxf>
      <alignment horizontal="center"/>
    </dxf>
    <dxf>
      <alignment horizontal="center"/>
    </dxf>
    <dxf>
      <numFmt numFmtId="166" formatCode="0.0000000"/>
    </dxf>
    <dxf>
      <numFmt numFmtId="164" formatCode="0.0"/>
    </dxf>
    <dxf>
      <numFmt numFmtId="164" formatCode="0.0"/>
    </dxf>
    <dxf>
      <alignment horizontal="center"/>
    </dxf>
    <dxf>
      <alignment horizontal="center"/>
    </dxf>
    <dxf>
      <alignment horizontal="center"/>
    </dxf>
    <dxf>
      <numFmt numFmtId="165" formatCode="_-[$$-409]* #,##0.00_ ;_-[$$-409]* \-#,##0.00\ ;_-[$$-409]* &quot;-&quot;??_ ;_-@_ "/>
    </dxf>
    <dxf>
      <numFmt numFmtId="2" formatCode="0.00"/>
    </dxf>
    <dxf>
      <alignment horizontal="center"/>
    </dxf>
    <dxf>
      <alignment horizontal="center"/>
    </dxf>
    <dxf>
      <alignment horizontal="center"/>
    </dxf>
    <dxf>
      <alignment horizontal="center"/>
    </dxf>
    <dxf>
      <alignment horizontal="center"/>
    </dxf>
    <dxf>
      <alignment horizontal="center"/>
    </dxf>
    <dxf>
      <numFmt numFmtId="0" formatCode="General"/>
    </dxf>
    <dxf>
      <alignment horizontal="center"/>
    </dxf>
    <dxf>
      <alignment horizontal="center"/>
    </dxf>
    <dxf>
      <alignment horizontal="center"/>
    </dxf>
    <dxf>
      <numFmt numFmtId="164"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0.0"/>
    </dxf>
    <dxf>
      <numFmt numFmtId="164" formatCode="0.0"/>
    </dxf>
    <dxf>
      <alignment horizontal="center"/>
    </dxf>
    <dxf>
      <alignment horizontal="center"/>
    </dxf>
    <dxf>
      <alignment horizontal="center"/>
    </dxf>
    <dxf>
      <alignment horizontal="center"/>
    </dxf>
    <dxf>
      <alignment horizontal="center"/>
    </dxf>
    <dxf>
      <numFmt numFmtId="164" formatCode="0.0"/>
    </dxf>
    <dxf>
      <alignment horizontal="center"/>
    </dxf>
    <dxf>
      <alignment horizontal="center"/>
    </dxf>
    <dxf>
      <alignment horizontal="center"/>
    </dxf>
    <dxf>
      <alignment horizontal="center"/>
    </dxf>
    <dxf>
      <alignment horizontal="center"/>
    </dxf>
    <dxf>
      <numFmt numFmtId="165" formatCode="_-[$$-409]* #,##0.00_ ;_-[$$-409]* \-#,##0.00\ ;_-[$$-409]* &quot;-&quot;??_ ;_-@_ "/>
    </dxf>
    <dxf>
      <alignment horizontal="center"/>
    </dxf>
    <dxf>
      <alignment horizontal="center"/>
    </dxf>
    <dxf>
      <alignment horizontal="center"/>
    </dxf>
    <dxf>
      <alignment horizontal="center"/>
    </dxf>
    <dxf>
      <alignment horizontal="center"/>
    </dxf>
    <dxf>
      <numFmt numFmtId="164" formatCode="0.0"/>
    </dxf>
    <dxf>
      <alignment horizontal="center"/>
    </dxf>
    <dxf>
      <alignment horizontal="center"/>
    </dxf>
    <dxf>
      <alignment horizontal="center"/>
    </dxf>
    <dxf>
      <alignment horizontal="center"/>
    </dxf>
    <dxf>
      <alignment horizontal="center"/>
    </dxf>
    <dxf>
      <alignment horizontal="center"/>
    </dxf>
    <dxf>
      <numFmt numFmtId="165" formatCode="_-[$$-409]* #,##0.00_ ;_-[$$-409]* \-#,##0.00\ ;_-[$$-409]* &quot;-&quot;??_ ;_-@_ "/>
    </dxf>
    <dxf>
      <alignment horizontal="center"/>
    </dxf>
    <dxf>
      <alignment horizontal="center"/>
    </dxf>
    <dxf>
      <alignment horizontal="center"/>
    </dxf>
    <dxf>
      <alignment horizontal="center"/>
    </dxf>
    <dxf>
      <alignment horizontal="center"/>
    </dxf>
    <dxf>
      <numFmt numFmtId="164" formatCode="0.0"/>
    </dxf>
    <dxf>
      <alignment horizontal="center"/>
    </dxf>
    <dxf>
      <alignment horizontal="center"/>
    </dxf>
    <dxf>
      <alignment horizontal="center"/>
    </dxf>
    <dxf>
      <alignment horizontal="center"/>
    </dxf>
    <dxf>
      <alignment horizontal="center"/>
    </dxf>
    <dxf>
      <numFmt numFmtId="164" formatCode="0.0"/>
    </dxf>
    <dxf>
      <alignment horizontal="center"/>
    </dxf>
    <dxf>
      <alignment horizontal="center"/>
    </dxf>
    <dxf>
      <alignment horizontal="center"/>
    </dxf>
    <dxf>
      <alignment horizontal="center"/>
    </dxf>
    <dxf>
      <alignment horizontal="center"/>
    </dxf>
    <dxf>
      <numFmt numFmtId="166" formatCode="0.0000000"/>
    </dxf>
    <dxf>
      <numFmt numFmtId="164" formatCode="0.0"/>
    </dxf>
    <dxf>
      <numFmt numFmtId="164" formatCode="0.0"/>
    </dxf>
    <dxf>
      <alignment horizontal="center"/>
    </dxf>
    <dxf>
      <alignment horizontal="center"/>
    </dxf>
    <dxf>
      <alignment horizontal="center"/>
    </dxf>
    <dxf>
      <numFmt numFmtId="165" formatCode="_-[$$-409]* #,##0.00_ ;_-[$$-409]* \-#,##0.00\ ;_-[$$-409]* &quot;-&quot;??_ ;_-@_ "/>
    </dxf>
    <dxf>
      <numFmt numFmtId="2" formatCode="0.00"/>
    </dxf>
    <dxf>
      <alignment horizontal="center"/>
    </dxf>
    <dxf>
      <alignment horizontal="center"/>
    </dxf>
    <dxf>
      <alignment horizontal="center"/>
    </dxf>
    <dxf>
      <alignment horizontal="center"/>
    </dxf>
    <dxf>
      <alignment horizontal="center"/>
    </dxf>
    <dxf>
      <alignment horizontal="center"/>
    </dxf>
    <dxf>
      <numFmt numFmtId="0" formatCode="General"/>
    </dxf>
    <dxf>
      <alignment horizontal="center"/>
    </dxf>
    <dxf>
      <alignment horizontal="center"/>
    </dxf>
    <dxf>
      <alignment horizontal="center"/>
    </dxf>
    <dxf>
      <numFmt numFmtId="164"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0.0"/>
    </dxf>
    <dxf>
      <numFmt numFmtId="164" formatCode="0.0"/>
    </dxf>
    <dxf>
      <alignment horizontal="center"/>
    </dxf>
    <dxf>
      <alignment horizontal="center"/>
    </dxf>
    <dxf>
      <alignment horizontal="center"/>
    </dxf>
    <dxf>
      <alignment horizontal="center"/>
    </dxf>
    <dxf>
      <alignment horizontal="center"/>
    </dxf>
    <dxf>
      <numFmt numFmtId="164" formatCode="0.0"/>
    </dxf>
    <dxf>
      <alignment horizontal="center"/>
    </dxf>
    <dxf>
      <alignment horizontal="center"/>
    </dxf>
    <dxf>
      <alignment horizontal="center"/>
    </dxf>
    <dxf>
      <alignment horizontal="center"/>
    </dxf>
    <dxf>
      <alignment horizontal="center"/>
    </dxf>
    <dxf>
      <numFmt numFmtId="165" formatCode="_-[$$-409]* #,##0.00_ ;_-[$$-409]* \-#,##0.00\ ;_-[$$-409]* &quot;-&quot;??_ ;_-@_ "/>
    </dxf>
    <dxf>
      <alignment horizontal="center"/>
    </dxf>
    <dxf>
      <alignment horizontal="center"/>
    </dxf>
    <dxf>
      <alignment horizontal="center"/>
    </dxf>
    <dxf>
      <alignment horizontal="center"/>
    </dxf>
    <dxf>
      <alignment horizontal="center"/>
    </dxf>
    <dxf>
      <numFmt numFmtId="164" formatCode="0.0"/>
    </dxf>
    <dxf>
      <alignment horizontal="center"/>
    </dxf>
    <dxf>
      <alignment horizontal="center"/>
    </dxf>
    <dxf>
      <alignment horizontal="center"/>
    </dxf>
    <dxf>
      <alignment horizontal="center"/>
    </dxf>
    <dxf>
      <alignment horizontal="center"/>
    </dxf>
    <dxf>
      <alignment horizontal="center"/>
    </dxf>
    <dxf>
      <numFmt numFmtId="165" formatCode="_-[$$-409]* #,##0.00_ ;_-[$$-409]* \-#,##0.00\ ;_-[$$-409]* &quot;-&quot;??_ ;_-@_ "/>
    </dxf>
    <dxf>
      <alignment horizontal="center"/>
    </dxf>
    <dxf>
      <alignment horizontal="center"/>
    </dxf>
    <dxf>
      <alignment horizontal="center"/>
    </dxf>
    <dxf>
      <alignment horizontal="center"/>
    </dxf>
    <dxf>
      <alignment horizontal="center"/>
    </dxf>
    <dxf>
      <numFmt numFmtId="164" formatCode="0.0"/>
    </dxf>
    <dxf>
      <alignment horizontal="center"/>
    </dxf>
    <dxf>
      <alignment horizontal="center"/>
    </dxf>
    <dxf>
      <alignment horizontal="center"/>
    </dxf>
    <dxf>
      <alignment horizontal="center"/>
    </dxf>
    <dxf>
      <alignment horizontal="center"/>
    </dxf>
    <dxf>
      <numFmt numFmtId="164" formatCode="0.0"/>
    </dxf>
    <dxf>
      <alignment horizontal="center"/>
    </dxf>
    <dxf>
      <alignment horizontal="center"/>
    </dxf>
    <dxf>
      <alignment horizontal="center"/>
    </dxf>
    <dxf>
      <alignment horizontal="center"/>
    </dxf>
    <dxf>
      <alignment horizontal="center"/>
    </dxf>
    <dxf>
      <numFmt numFmtId="166" formatCode="0.0000000"/>
    </dxf>
    <dxf>
      <numFmt numFmtId="164" formatCode="0.0"/>
    </dxf>
    <dxf>
      <numFmt numFmtId="164" formatCode="0.0"/>
    </dxf>
    <dxf>
      <alignment horizontal="center"/>
    </dxf>
    <dxf>
      <alignment horizontal="center"/>
    </dxf>
    <dxf>
      <alignment horizontal="center"/>
    </dxf>
    <dxf>
      <numFmt numFmtId="165" formatCode="_-[$$-409]* #,##0.00_ ;_-[$$-409]* \-#,##0.00\ ;_-[$$-409]* &quot;-&quot;??_ ;_-@_ "/>
    </dxf>
    <dxf>
      <numFmt numFmtId="2" formatCode="0.00"/>
    </dxf>
    <dxf>
      <alignment horizontal="center"/>
    </dxf>
    <dxf>
      <alignment horizontal="center"/>
    </dxf>
    <dxf>
      <alignment horizontal="center"/>
    </dxf>
    <dxf>
      <alignment horizontal="center"/>
    </dxf>
    <dxf>
      <alignment horizontal="center"/>
    </dxf>
    <dxf>
      <alignment horizontal="center"/>
    </dxf>
    <dxf>
      <numFmt numFmtId="0" formatCode="General"/>
    </dxf>
    <dxf>
      <alignment horizontal="center"/>
    </dxf>
    <dxf>
      <alignment horizontal="center"/>
    </dxf>
    <dxf>
      <alignment horizontal="center"/>
    </dxf>
    <dxf>
      <numFmt numFmtId="164"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0.0"/>
    </dxf>
    <dxf>
      <numFmt numFmtId="164" formatCode="0.0"/>
    </dxf>
    <dxf>
      <alignment horizontal="center"/>
    </dxf>
    <dxf>
      <alignment horizontal="center"/>
    </dxf>
    <dxf>
      <alignment horizontal="center"/>
    </dxf>
    <dxf>
      <alignment horizontal="center"/>
    </dxf>
    <dxf>
      <alignment horizontal="center"/>
    </dxf>
    <dxf>
      <numFmt numFmtId="164" formatCode="0.0"/>
    </dxf>
    <dxf>
      <alignment horizontal="center"/>
    </dxf>
    <dxf>
      <alignment horizontal="center"/>
    </dxf>
    <dxf>
      <alignment horizontal="center"/>
    </dxf>
    <dxf>
      <alignment horizontal="center"/>
    </dxf>
    <dxf>
      <alignment horizontal="center"/>
    </dxf>
    <dxf>
      <numFmt numFmtId="165" formatCode="_-[$$-409]* #,##0.00_ ;_-[$$-409]* \-#,##0.00\ ;_-[$$-409]* &quot;-&quot;??_ ;_-@_ "/>
    </dxf>
    <dxf>
      <alignment horizontal="center"/>
    </dxf>
    <dxf>
      <alignment horizontal="center"/>
    </dxf>
    <dxf>
      <alignment horizontal="center"/>
    </dxf>
    <dxf>
      <alignment horizontal="center"/>
    </dxf>
    <dxf>
      <alignment horizontal="center"/>
    </dxf>
    <dxf>
      <numFmt numFmtId="164" formatCode="0.0"/>
    </dxf>
    <dxf>
      <alignment horizontal="center"/>
    </dxf>
    <dxf>
      <alignment horizontal="center"/>
    </dxf>
    <dxf>
      <alignment horizontal="center"/>
    </dxf>
    <dxf>
      <alignment horizontal="center"/>
    </dxf>
    <dxf>
      <alignment horizontal="center"/>
    </dxf>
    <dxf>
      <alignment horizontal="center"/>
    </dxf>
    <dxf>
      <numFmt numFmtId="165" formatCode="_-[$$-409]* #,##0.00_ ;_-[$$-409]* \-#,##0.00\ ;_-[$$-409]* &quot;-&quot;??_ ;_-@_ "/>
    </dxf>
    <dxf>
      <alignment horizontal="center"/>
    </dxf>
    <dxf>
      <alignment horizontal="center"/>
    </dxf>
    <dxf>
      <alignment horizontal="center"/>
    </dxf>
    <dxf>
      <alignment horizontal="center"/>
    </dxf>
    <dxf>
      <alignment horizontal="center"/>
    </dxf>
    <dxf>
      <numFmt numFmtId="164" formatCode="0.0"/>
    </dxf>
    <dxf>
      <alignment horizontal="center"/>
    </dxf>
    <dxf>
      <alignment horizontal="center"/>
    </dxf>
    <dxf>
      <alignment horizontal="center"/>
    </dxf>
    <dxf>
      <alignment horizontal="center"/>
    </dxf>
    <dxf>
      <alignment horizontal="center"/>
    </dxf>
    <dxf>
      <numFmt numFmtId="164" formatCode="0.0"/>
    </dxf>
    <dxf>
      <alignment horizontal="center"/>
    </dxf>
    <dxf>
      <alignment horizontal="center"/>
    </dxf>
    <dxf>
      <alignment horizontal="center"/>
    </dxf>
    <dxf>
      <alignment horizontal="center"/>
    </dxf>
    <dxf>
      <alignment horizontal="center"/>
    </dxf>
    <dxf>
      <numFmt numFmtId="166" formatCode="0.0000000"/>
    </dxf>
    <dxf>
      <numFmt numFmtId="164" formatCode="0.0"/>
    </dxf>
    <dxf>
      <numFmt numFmtId="164" formatCode="0.0"/>
    </dxf>
    <dxf>
      <alignment horizontal="center"/>
    </dxf>
    <dxf>
      <alignment horizontal="center"/>
    </dxf>
    <dxf>
      <alignment horizontal="center"/>
    </dxf>
    <dxf>
      <numFmt numFmtId="165" formatCode="_-[$$-409]* #,##0.00_ ;_-[$$-409]* \-#,##0.00\ ;_-[$$-409]* &quot;-&quot;??_ ;_-@_ "/>
    </dxf>
    <dxf>
      <numFmt numFmtId="2" formatCode="0.00"/>
    </dxf>
    <dxf>
      <alignment horizontal="center"/>
    </dxf>
    <dxf>
      <alignment horizontal="center"/>
    </dxf>
    <dxf>
      <alignment horizontal="center"/>
    </dxf>
    <dxf>
      <alignment horizontal="center"/>
    </dxf>
    <dxf>
      <alignment horizontal="center"/>
    </dxf>
    <dxf>
      <alignment horizontal="center"/>
    </dxf>
    <dxf>
      <numFmt numFmtId="0" formatCode="General"/>
    </dxf>
    <dxf>
      <alignment horizontal="center"/>
    </dxf>
    <dxf>
      <alignment horizontal="center"/>
    </dxf>
    <dxf>
      <alignment horizontal="center"/>
    </dxf>
    <dxf>
      <numFmt numFmtId="164"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0.0"/>
    </dxf>
    <dxf>
      <numFmt numFmtId="164" formatCode="0.0"/>
    </dxf>
    <dxf>
      <alignment horizontal="center"/>
    </dxf>
    <dxf>
      <alignment horizontal="center"/>
    </dxf>
    <dxf>
      <alignment horizontal="center"/>
    </dxf>
    <dxf>
      <alignment horizontal="center"/>
    </dxf>
    <dxf>
      <alignment horizontal="center"/>
    </dxf>
    <dxf>
      <numFmt numFmtId="164" formatCode="0.0"/>
    </dxf>
    <dxf>
      <alignment horizontal="center"/>
    </dxf>
    <dxf>
      <alignment horizontal="center"/>
    </dxf>
    <dxf>
      <alignment horizontal="center"/>
    </dxf>
    <dxf>
      <alignment horizontal="center"/>
    </dxf>
    <dxf>
      <alignment horizontal="center"/>
    </dxf>
    <dxf>
      <numFmt numFmtId="165" formatCode="_-[$$-409]* #,##0.00_ ;_-[$$-409]* \-#,##0.00\ ;_-[$$-409]* &quot;-&quot;??_ ;_-@_ "/>
    </dxf>
    <dxf>
      <alignment horizontal="center"/>
    </dxf>
    <dxf>
      <alignment horizontal="center"/>
    </dxf>
    <dxf>
      <alignment horizontal="center"/>
    </dxf>
    <dxf>
      <alignment horizontal="center"/>
    </dxf>
    <dxf>
      <alignment horizontal="center"/>
    </dxf>
    <dxf>
      <numFmt numFmtId="164" formatCode="0.0"/>
    </dxf>
    <dxf>
      <alignment horizontal="center"/>
    </dxf>
    <dxf>
      <alignment horizontal="center"/>
    </dxf>
    <dxf>
      <alignment horizontal="center"/>
    </dxf>
    <dxf>
      <alignment horizontal="center"/>
    </dxf>
    <dxf>
      <alignment horizontal="center"/>
    </dxf>
    <dxf>
      <alignment horizontal="center"/>
    </dxf>
    <dxf>
      <numFmt numFmtId="165" formatCode="_-[$$-409]* #,##0.00_ ;_-[$$-409]* \-#,##0.00\ ;_-[$$-409]* &quot;-&quot;??_ ;_-@_ "/>
    </dxf>
    <dxf>
      <alignment horizontal="center"/>
    </dxf>
    <dxf>
      <alignment horizontal="center"/>
    </dxf>
    <dxf>
      <alignment horizontal="center"/>
    </dxf>
    <dxf>
      <alignment horizontal="center"/>
    </dxf>
    <dxf>
      <alignment horizontal="center"/>
    </dxf>
    <dxf>
      <numFmt numFmtId="164" formatCode="0.0"/>
    </dxf>
    <dxf>
      <alignment horizontal="center"/>
    </dxf>
    <dxf>
      <alignment horizontal="center"/>
    </dxf>
    <dxf>
      <alignment horizontal="center"/>
    </dxf>
    <dxf>
      <alignment horizontal="center"/>
    </dxf>
    <dxf>
      <alignment horizontal="center"/>
    </dxf>
    <dxf>
      <numFmt numFmtId="164" formatCode="0.0"/>
    </dxf>
    <dxf>
      <alignment horizontal="center"/>
    </dxf>
    <dxf>
      <alignment horizontal="center"/>
    </dxf>
    <dxf>
      <alignment horizontal="center"/>
    </dxf>
    <dxf>
      <alignment horizontal="center"/>
    </dxf>
    <dxf>
      <alignment horizontal="center"/>
    </dxf>
    <dxf>
      <numFmt numFmtId="166" formatCode="0.0000000"/>
    </dxf>
    <dxf>
      <numFmt numFmtId="164" formatCode="0.0"/>
    </dxf>
    <dxf>
      <numFmt numFmtId="164" formatCode="0.0"/>
    </dxf>
    <dxf>
      <alignment horizontal="center"/>
    </dxf>
    <dxf>
      <alignment horizontal="center"/>
    </dxf>
    <dxf>
      <alignment horizontal="center"/>
    </dxf>
    <dxf>
      <numFmt numFmtId="165" formatCode="_-[$$-409]* #,##0.00_ ;_-[$$-409]* \-#,##0.00\ ;_-[$$-409]* &quot;-&quot;??_ ;_-@_ "/>
    </dxf>
    <dxf>
      <numFmt numFmtId="2" formatCode="0.00"/>
    </dxf>
    <dxf>
      <alignment horizontal="center"/>
    </dxf>
    <dxf>
      <alignment horizontal="center"/>
    </dxf>
    <dxf>
      <alignment horizontal="center"/>
    </dxf>
    <dxf>
      <alignment horizontal="center"/>
    </dxf>
    <dxf>
      <alignment horizontal="center"/>
    </dxf>
    <dxf>
      <alignment horizontal="center"/>
    </dxf>
    <dxf>
      <numFmt numFmtId="0" formatCode="General"/>
    </dxf>
    <dxf>
      <alignment horizontal="center"/>
    </dxf>
    <dxf>
      <alignment horizontal="center"/>
    </dxf>
    <dxf>
      <alignment horizontal="center"/>
    </dxf>
    <dxf>
      <numFmt numFmtId="164"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0.0"/>
    </dxf>
    <dxf>
      <numFmt numFmtId="164" formatCode="0.0"/>
    </dxf>
    <dxf>
      <alignment horizontal="center"/>
    </dxf>
    <dxf>
      <alignment horizontal="center"/>
    </dxf>
    <dxf>
      <alignment horizontal="center"/>
    </dxf>
    <dxf>
      <alignment horizontal="center"/>
    </dxf>
    <dxf>
      <alignment horizontal="center"/>
    </dxf>
    <dxf>
      <numFmt numFmtId="164" formatCode="0.0"/>
    </dxf>
    <dxf>
      <alignment horizontal="center"/>
    </dxf>
    <dxf>
      <alignment horizontal="center"/>
    </dxf>
    <dxf>
      <alignment horizontal="center"/>
    </dxf>
    <dxf>
      <alignment horizontal="center"/>
    </dxf>
    <dxf>
      <alignment horizontal="center"/>
    </dxf>
    <dxf>
      <numFmt numFmtId="165" formatCode="_-[$$-409]* #,##0.00_ ;_-[$$-409]* \-#,##0.00\ ;_-[$$-409]* &quot;-&quot;??_ ;_-@_ "/>
    </dxf>
    <dxf>
      <alignment horizontal="center"/>
    </dxf>
    <dxf>
      <alignment horizontal="center"/>
    </dxf>
    <dxf>
      <alignment horizontal="center"/>
    </dxf>
    <dxf>
      <alignment horizontal="center"/>
    </dxf>
    <dxf>
      <alignment horizontal="center"/>
    </dxf>
    <dxf>
      <numFmt numFmtId="164" formatCode="0.0"/>
    </dxf>
    <dxf>
      <alignment horizontal="center"/>
    </dxf>
    <dxf>
      <alignment horizontal="center"/>
    </dxf>
    <dxf>
      <alignment horizontal="center"/>
    </dxf>
    <dxf>
      <alignment horizontal="center"/>
    </dxf>
    <dxf>
      <alignment horizontal="center"/>
    </dxf>
    <dxf>
      <alignment horizontal="center"/>
    </dxf>
    <dxf>
      <numFmt numFmtId="165" formatCode="_-[$$-409]* #,##0.00_ ;_-[$$-409]* \-#,##0.00\ ;_-[$$-409]* &quot;-&quot;??_ ;_-@_ "/>
    </dxf>
    <dxf>
      <alignment horizontal="center"/>
    </dxf>
    <dxf>
      <alignment horizontal="center"/>
    </dxf>
    <dxf>
      <alignment horizontal="center"/>
    </dxf>
    <dxf>
      <alignment horizontal="center"/>
    </dxf>
    <dxf>
      <alignment horizontal="center"/>
    </dxf>
    <dxf>
      <numFmt numFmtId="164" formatCode="0.0"/>
    </dxf>
    <dxf>
      <alignment horizontal="center"/>
    </dxf>
    <dxf>
      <alignment horizontal="center"/>
    </dxf>
    <dxf>
      <alignment horizontal="center"/>
    </dxf>
    <dxf>
      <alignment horizontal="center"/>
    </dxf>
    <dxf>
      <alignment horizontal="center"/>
    </dxf>
    <dxf>
      <numFmt numFmtId="164" formatCode="0.0"/>
    </dxf>
    <dxf>
      <alignment horizontal="center"/>
    </dxf>
    <dxf>
      <alignment horizontal="center"/>
    </dxf>
    <dxf>
      <alignment horizontal="center"/>
    </dxf>
    <dxf>
      <alignment horizontal="center"/>
    </dxf>
    <dxf>
      <alignment horizontal="center"/>
    </dxf>
    <dxf>
      <numFmt numFmtId="166" formatCode="0.0000000"/>
    </dxf>
    <dxf>
      <numFmt numFmtId="164" formatCode="0.0"/>
    </dxf>
    <dxf>
      <numFmt numFmtId="164" formatCode="0.0"/>
    </dxf>
    <dxf>
      <alignment horizontal="center"/>
    </dxf>
    <dxf>
      <alignment horizontal="center"/>
    </dxf>
    <dxf>
      <alignment horizontal="center"/>
    </dxf>
    <dxf>
      <numFmt numFmtId="165" formatCode="_-[$$-409]* #,##0.00_ ;_-[$$-409]* \-#,##0.00\ ;_-[$$-409]* &quot;-&quot;??_ ;_-@_ "/>
    </dxf>
    <dxf>
      <numFmt numFmtId="2" formatCode="0.00"/>
    </dxf>
    <dxf>
      <alignment horizontal="center"/>
    </dxf>
    <dxf>
      <alignment horizontal="center"/>
    </dxf>
    <dxf>
      <alignment horizontal="center"/>
    </dxf>
    <dxf>
      <alignment horizontal="center"/>
    </dxf>
    <dxf>
      <alignment horizontal="center"/>
    </dxf>
    <dxf>
      <alignment horizontal="center"/>
    </dxf>
    <dxf>
      <numFmt numFmtId="0" formatCode="General"/>
    </dxf>
    <dxf>
      <alignment horizontal="center"/>
    </dxf>
    <dxf>
      <alignment horizontal="center"/>
    </dxf>
    <dxf>
      <alignment horizontal="center"/>
    </dxf>
    <dxf>
      <numFmt numFmtId="164"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0.0"/>
    </dxf>
    <dxf>
      <numFmt numFmtId="164" formatCode="0.0"/>
    </dxf>
    <dxf>
      <alignment horizontal="center"/>
    </dxf>
    <dxf>
      <alignment horizontal="center"/>
    </dxf>
    <dxf>
      <alignment horizontal="center"/>
    </dxf>
    <dxf>
      <alignment horizontal="center"/>
    </dxf>
    <dxf>
      <alignment horizontal="center"/>
    </dxf>
    <dxf>
      <numFmt numFmtId="164" formatCode="0.0"/>
    </dxf>
    <dxf>
      <alignment horizontal="center"/>
    </dxf>
    <dxf>
      <alignment horizontal="center"/>
    </dxf>
    <dxf>
      <alignment horizontal="center"/>
    </dxf>
    <dxf>
      <alignment horizontal="center"/>
    </dxf>
    <dxf>
      <alignment horizontal="center"/>
    </dxf>
    <dxf>
      <numFmt numFmtId="165" formatCode="_-[$$-409]* #,##0.00_ ;_-[$$-409]* \-#,##0.00\ ;_-[$$-409]* &quot;-&quot;??_ ;_-@_ "/>
    </dxf>
    <dxf>
      <alignment horizontal="center"/>
    </dxf>
    <dxf>
      <alignment horizontal="center"/>
    </dxf>
    <dxf>
      <alignment horizontal="center"/>
    </dxf>
    <dxf>
      <alignment horizontal="center"/>
    </dxf>
    <dxf>
      <alignment horizontal="center"/>
    </dxf>
    <dxf>
      <numFmt numFmtId="164" formatCode="0.0"/>
    </dxf>
    <dxf>
      <alignment horizontal="center"/>
    </dxf>
    <dxf>
      <alignment horizontal="center"/>
    </dxf>
    <dxf>
      <alignment horizontal="center"/>
    </dxf>
    <dxf>
      <alignment horizontal="center"/>
    </dxf>
    <dxf>
      <alignment horizontal="center"/>
    </dxf>
    <dxf>
      <alignment horizontal="center"/>
    </dxf>
    <dxf>
      <numFmt numFmtId="165" formatCode="_-[$$-409]* #,##0.00_ ;_-[$$-409]* \-#,##0.00\ ;_-[$$-409]* &quot;-&quot;??_ ;_-@_ "/>
    </dxf>
    <dxf>
      <alignment horizontal="center"/>
    </dxf>
    <dxf>
      <alignment horizontal="center"/>
    </dxf>
    <dxf>
      <alignment horizontal="center"/>
    </dxf>
    <dxf>
      <alignment horizontal="center"/>
    </dxf>
    <dxf>
      <alignment horizontal="center"/>
    </dxf>
    <dxf>
      <numFmt numFmtId="164" formatCode="0.0"/>
    </dxf>
    <dxf>
      <alignment horizontal="center"/>
    </dxf>
    <dxf>
      <alignment horizontal="center"/>
    </dxf>
    <dxf>
      <alignment horizontal="center"/>
    </dxf>
    <dxf>
      <alignment horizontal="center"/>
    </dxf>
    <dxf>
      <alignment horizontal="center"/>
    </dxf>
    <dxf>
      <numFmt numFmtId="164" formatCode="0.0"/>
    </dxf>
    <dxf>
      <alignment horizontal="center"/>
    </dxf>
    <dxf>
      <alignment horizontal="center"/>
    </dxf>
    <dxf>
      <alignment horizontal="center"/>
    </dxf>
    <dxf>
      <alignment horizontal="center"/>
    </dxf>
    <dxf>
      <alignment horizontal="center"/>
    </dxf>
    <dxf>
      <numFmt numFmtId="166" formatCode="0.0000000"/>
    </dxf>
    <dxf>
      <numFmt numFmtId="164" formatCode="0.0"/>
    </dxf>
    <dxf>
      <numFmt numFmtId="164" formatCode="0.0"/>
    </dxf>
    <dxf>
      <alignment horizontal="center"/>
    </dxf>
    <dxf>
      <alignment horizontal="center"/>
    </dxf>
    <dxf>
      <alignment horizontal="center"/>
    </dxf>
    <dxf>
      <numFmt numFmtId="165" formatCode="_-[$$-409]* #,##0.00_ ;_-[$$-409]* \-#,##0.00\ ;_-[$$-409]* &quot;-&quot;??_ ;_-@_ "/>
    </dxf>
    <dxf>
      <numFmt numFmtId="2" formatCode="0.00"/>
    </dxf>
    <dxf>
      <alignment horizontal="center"/>
    </dxf>
    <dxf>
      <alignment horizontal="center"/>
    </dxf>
    <dxf>
      <alignment horizontal="center"/>
    </dxf>
    <dxf>
      <alignment horizontal="center"/>
    </dxf>
    <dxf>
      <alignment horizontal="center"/>
    </dxf>
    <dxf>
      <alignment horizontal="center"/>
    </dxf>
    <dxf>
      <numFmt numFmtId="0" formatCode="General"/>
    </dxf>
    <dxf>
      <alignment horizontal="center"/>
    </dxf>
    <dxf>
      <alignment horizontal="center"/>
    </dxf>
    <dxf>
      <alignment horizontal="center"/>
    </dxf>
    <dxf>
      <numFmt numFmtId="164"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0.0"/>
    </dxf>
    <dxf>
      <numFmt numFmtId="164" formatCode="0.0"/>
    </dxf>
    <dxf>
      <alignment horizontal="center"/>
    </dxf>
    <dxf>
      <alignment horizontal="center"/>
    </dxf>
    <dxf>
      <alignment horizontal="center"/>
    </dxf>
    <dxf>
      <alignment horizontal="center"/>
    </dxf>
    <dxf>
      <alignment horizontal="center"/>
    </dxf>
    <dxf>
      <numFmt numFmtId="164" formatCode="0.0"/>
    </dxf>
    <dxf>
      <alignment horizontal="center"/>
    </dxf>
    <dxf>
      <alignment horizontal="center"/>
    </dxf>
    <dxf>
      <alignment horizontal="center"/>
    </dxf>
    <dxf>
      <alignment horizontal="center"/>
    </dxf>
    <dxf>
      <alignment horizontal="center"/>
    </dxf>
    <dxf>
      <numFmt numFmtId="165" formatCode="_-[$$-409]* #,##0.00_ ;_-[$$-409]* \-#,##0.00\ ;_-[$$-409]* &quot;-&quot;??_ ;_-@_ "/>
    </dxf>
    <dxf>
      <alignment horizontal="center"/>
    </dxf>
    <dxf>
      <alignment horizontal="center"/>
    </dxf>
    <dxf>
      <alignment horizontal="center"/>
    </dxf>
    <dxf>
      <alignment horizontal="center"/>
    </dxf>
    <dxf>
      <alignment horizontal="center"/>
    </dxf>
    <dxf>
      <numFmt numFmtId="164" formatCode="0.0"/>
    </dxf>
    <dxf>
      <alignment horizontal="center"/>
    </dxf>
    <dxf>
      <alignment horizontal="center"/>
    </dxf>
    <dxf>
      <alignment horizontal="center"/>
    </dxf>
    <dxf>
      <alignment horizontal="center"/>
    </dxf>
    <dxf>
      <alignment horizontal="center"/>
    </dxf>
    <dxf>
      <alignment horizontal="center"/>
    </dxf>
    <dxf>
      <numFmt numFmtId="165" formatCode="_-[$$-409]* #,##0.00_ ;_-[$$-409]* \-#,##0.00\ ;_-[$$-409]* &quot;-&quot;??_ ;_-@_ "/>
    </dxf>
    <dxf>
      <alignment horizontal="center"/>
    </dxf>
    <dxf>
      <alignment horizontal="center"/>
    </dxf>
    <dxf>
      <alignment horizontal="center"/>
    </dxf>
    <dxf>
      <alignment horizontal="center"/>
    </dxf>
    <dxf>
      <alignment horizontal="center"/>
    </dxf>
    <dxf>
      <numFmt numFmtId="164" formatCode="0.0"/>
    </dxf>
    <dxf>
      <alignment horizontal="center"/>
    </dxf>
    <dxf>
      <alignment horizontal="center"/>
    </dxf>
    <dxf>
      <alignment horizontal="center"/>
    </dxf>
    <dxf>
      <alignment horizontal="center"/>
    </dxf>
    <dxf>
      <alignment horizontal="center"/>
    </dxf>
    <dxf>
      <numFmt numFmtId="164" formatCode="0.0"/>
    </dxf>
    <dxf>
      <alignment horizontal="center"/>
    </dxf>
    <dxf>
      <alignment horizontal="center"/>
    </dxf>
    <dxf>
      <alignment horizontal="center"/>
    </dxf>
    <dxf>
      <alignment horizontal="center"/>
    </dxf>
    <dxf>
      <alignment horizontal="center"/>
    </dxf>
    <dxf>
      <numFmt numFmtId="166" formatCode="0.0000000"/>
    </dxf>
    <dxf>
      <numFmt numFmtId="164" formatCode="0.0"/>
    </dxf>
    <dxf>
      <numFmt numFmtId="164" formatCode="0.0"/>
    </dxf>
    <dxf>
      <alignment horizontal="center"/>
    </dxf>
    <dxf>
      <alignment horizontal="center"/>
    </dxf>
    <dxf>
      <alignment horizontal="center"/>
    </dxf>
    <dxf>
      <numFmt numFmtId="165" formatCode="_-[$$-409]* #,##0.00_ ;_-[$$-409]* \-#,##0.00\ ;_-[$$-409]* &quot;-&quot;??_ ;_-@_ "/>
    </dxf>
    <dxf>
      <numFmt numFmtId="2" formatCode="0.00"/>
    </dxf>
    <dxf>
      <alignment horizontal="center"/>
    </dxf>
    <dxf>
      <alignment horizontal="center"/>
    </dxf>
    <dxf>
      <alignment horizontal="center"/>
    </dxf>
    <dxf>
      <alignment horizontal="center"/>
    </dxf>
    <dxf>
      <alignment horizontal="center"/>
    </dxf>
    <dxf>
      <alignment horizontal="center"/>
    </dxf>
    <dxf>
      <numFmt numFmtId="0" formatCode="General"/>
    </dxf>
    <dxf>
      <alignment horizontal="center"/>
    </dxf>
    <dxf>
      <alignment horizontal="center"/>
    </dxf>
    <dxf>
      <alignment horizontal="center"/>
    </dxf>
    <dxf>
      <numFmt numFmtId="164"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0.0"/>
    </dxf>
    <dxf>
      <numFmt numFmtId="164" formatCode="0.0"/>
    </dxf>
    <dxf>
      <alignment horizontal="center"/>
    </dxf>
    <dxf>
      <alignment horizontal="center"/>
    </dxf>
    <dxf>
      <alignment horizontal="center"/>
    </dxf>
    <dxf>
      <alignment horizontal="center"/>
    </dxf>
    <dxf>
      <alignment horizontal="center"/>
    </dxf>
    <dxf>
      <numFmt numFmtId="164" formatCode="0.0"/>
    </dxf>
    <dxf>
      <alignment horizontal="center"/>
    </dxf>
    <dxf>
      <alignment horizontal="center"/>
    </dxf>
    <dxf>
      <alignment horizontal="center"/>
    </dxf>
    <dxf>
      <alignment horizontal="center"/>
    </dxf>
    <dxf>
      <alignment horizontal="center"/>
    </dxf>
    <dxf>
      <numFmt numFmtId="165" formatCode="_-[$$-409]* #,##0.00_ ;_-[$$-409]* \-#,##0.00\ ;_-[$$-409]* &quot;-&quot;??_ ;_-@_ "/>
    </dxf>
    <dxf>
      <alignment horizontal="center"/>
    </dxf>
    <dxf>
      <alignment horizontal="center"/>
    </dxf>
    <dxf>
      <alignment horizontal="center"/>
    </dxf>
    <dxf>
      <alignment horizontal="center"/>
    </dxf>
    <dxf>
      <alignment horizontal="center"/>
    </dxf>
    <dxf>
      <numFmt numFmtId="164" formatCode="0.0"/>
    </dxf>
    <dxf>
      <alignment horizontal="center"/>
    </dxf>
    <dxf>
      <alignment horizontal="center"/>
    </dxf>
    <dxf>
      <alignment horizontal="center"/>
    </dxf>
    <dxf>
      <alignment horizontal="center"/>
    </dxf>
    <dxf>
      <alignment horizontal="center"/>
    </dxf>
    <dxf>
      <alignment horizontal="center"/>
    </dxf>
    <dxf>
      <numFmt numFmtId="165" formatCode="_-[$$-409]* #,##0.00_ ;_-[$$-409]* \-#,##0.00\ ;_-[$$-409]* &quot;-&quot;??_ ;_-@_ "/>
    </dxf>
    <dxf>
      <alignment horizontal="center"/>
    </dxf>
    <dxf>
      <alignment horizontal="center"/>
    </dxf>
    <dxf>
      <alignment horizontal="center"/>
    </dxf>
    <dxf>
      <alignment horizontal="center"/>
    </dxf>
    <dxf>
      <alignment horizontal="center"/>
    </dxf>
    <dxf>
      <numFmt numFmtId="164" formatCode="0.0"/>
    </dxf>
    <dxf>
      <alignment horizontal="center"/>
    </dxf>
    <dxf>
      <alignment horizontal="center"/>
    </dxf>
    <dxf>
      <alignment horizontal="center"/>
    </dxf>
    <dxf>
      <alignment horizontal="center"/>
    </dxf>
    <dxf>
      <alignment horizontal="center"/>
    </dxf>
    <dxf>
      <numFmt numFmtId="164" formatCode="0.0"/>
    </dxf>
    <dxf>
      <alignment horizontal="center"/>
    </dxf>
    <dxf>
      <alignment horizontal="center"/>
    </dxf>
    <dxf>
      <alignment horizontal="center"/>
    </dxf>
    <dxf>
      <alignment horizontal="center"/>
    </dxf>
    <dxf>
      <alignment horizontal="center"/>
    </dxf>
    <dxf>
      <numFmt numFmtId="166" formatCode="0.0000000"/>
    </dxf>
    <dxf>
      <numFmt numFmtId="164" formatCode="0.0"/>
    </dxf>
    <dxf>
      <numFmt numFmtId="164" formatCode="0.0"/>
    </dxf>
    <dxf>
      <alignment horizontal="center"/>
    </dxf>
    <dxf>
      <alignment horizontal="center"/>
    </dxf>
    <dxf>
      <alignment horizontal="center"/>
    </dxf>
    <dxf>
      <numFmt numFmtId="165" formatCode="_-[$$-409]* #,##0.00_ ;_-[$$-409]* \-#,##0.00\ ;_-[$$-409]* &quot;-&quot;??_ ;_-@_ "/>
    </dxf>
    <dxf>
      <numFmt numFmtId="2" formatCode="0.00"/>
    </dxf>
    <dxf>
      <alignment horizontal="center"/>
    </dxf>
    <dxf>
      <alignment horizontal="center"/>
    </dxf>
    <dxf>
      <alignment horizontal="center"/>
    </dxf>
    <dxf>
      <alignment horizontal="center"/>
    </dxf>
    <dxf>
      <alignment horizontal="center"/>
    </dxf>
    <dxf>
      <alignment horizontal="center"/>
    </dxf>
    <dxf>
      <numFmt numFmtId="0" formatCode="General"/>
    </dxf>
    <dxf>
      <alignment horizontal="center"/>
    </dxf>
    <dxf>
      <alignment horizontal="center"/>
    </dxf>
    <dxf>
      <alignment horizontal="center"/>
    </dxf>
    <dxf>
      <numFmt numFmtId="164"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0.0"/>
    </dxf>
    <dxf>
      <numFmt numFmtId="164" formatCode="0.0"/>
    </dxf>
    <dxf>
      <alignment horizontal="center"/>
    </dxf>
    <dxf>
      <alignment horizontal="center"/>
    </dxf>
    <dxf>
      <alignment horizontal="center"/>
    </dxf>
    <dxf>
      <alignment horizontal="center"/>
    </dxf>
    <dxf>
      <alignment horizontal="center"/>
    </dxf>
    <dxf>
      <numFmt numFmtId="164" formatCode="0.0"/>
    </dxf>
    <dxf>
      <alignment horizontal="center"/>
    </dxf>
    <dxf>
      <alignment horizontal="center"/>
    </dxf>
    <dxf>
      <alignment horizontal="center"/>
    </dxf>
    <dxf>
      <alignment horizontal="center"/>
    </dxf>
    <dxf>
      <alignment horizontal="center"/>
    </dxf>
    <dxf>
      <numFmt numFmtId="165" formatCode="_-[$$-409]* #,##0.00_ ;_-[$$-409]* \-#,##0.00\ ;_-[$$-409]* &quot;-&quot;??_ ;_-@_ "/>
    </dxf>
    <dxf>
      <alignment horizontal="center"/>
    </dxf>
    <dxf>
      <alignment horizontal="center"/>
    </dxf>
    <dxf>
      <alignment horizontal="center"/>
    </dxf>
    <dxf>
      <alignment horizontal="center"/>
    </dxf>
    <dxf>
      <alignment horizontal="center"/>
    </dxf>
    <dxf>
      <numFmt numFmtId="164" formatCode="0.0"/>
    </dxf>
    <dxf>
      <alignment horizontal="center"/>
    </dxf>
    <dxf>
      <alignment horizontal="center"/>
    </dxf>
    <dxf>
      <alignment horizontal="center"/>
    </dxf>
    <dxf>
      <alignment horizontal="center"/>
    </dxf>
    <dxf>
      <alignment horizontal="center"/>
    </dxf>
    <dxf>
      <alignment horizontal="center"/>
    </dxf>
    <dxf>
      <numFmt numFmtId="165" formatCode="_-[$$-409]* #,##0.00_ ;_-[$$-409]* \-#,##0.00\ ;_-[$$-409]* &quot;-&quot;??_ ;_-@_ "/>
    </dxf>
    <dxf>
      <alignment horizontal="center"/>
    </dxf>
    <dxf>
      <alignment horizontal="center"/>
    </dxf>
    <dxf>
      <alignment horizontal="center"/>
    </dxf>
    <dxf>
      <alignment horizontal="center"/>
    </dxf>
    <dxf>
      <alignment horizontal="center"/>
    </dxf>
    <dxf>
      <numFmt numFmtId="164" formatCode="0.0"/>
    </dxf>
    <dxf>
      <alignment horizontal="center"/>
    </dxf>
    <dxf>
      <alignment horizontal="center"/>
    </dxf>
    <dxf>
      <alignment horizontal="center"/>
    </dxf>
    <dxf>
      <alignment horizontal="center"/>
    </dxf>
    <dxf>
      <alignment horizontal="center"/>
    </dxf>
    <dxf>
      <numFmt numFmtId="164" formatCode="0.0"/>
    </dxf>
    <dxf>
      <alignment horizontal="center"/>
    </dxf>
    <dxf>
      <alignment horizontal="center"/>
    </dxf>
    <dxf>
      <alignment horizontal="center"/>
    </dxf>
    <dxf>
      <alignment horizontal="center"/>
    </dxf>
    <dxf>
      <alignment horizontal="center"/>
    </dxf>
    <dxf>
      <numFmt numFmtId="166" formatCode="0.0000000"/>
    </dxf>
    <dxf>
      <numFmt numFmtId="164" formatCode="0.0"/>
    </dxf>
    <dxf>
      <numFmt numFmtId="164" formatCode="0.0"/>
    </dxf>
    <dxf>
      <alignment horizontal="center"/>
    </dxf>
    <dxf>
      <alignment horizontal="center"/>
    </dxf>
    <dxf>
      <alignment horizontal="center"/>
    </dxf>
    <dxf>
      <numFmt numFmtId="165" formatCode="_-[$$-409]* #,##0.00_ ;_-[$$-409]* \-#,##0.00\ ;_-[$$-409]* &quot;-&quot;??_ ;_-@_ "/>
    </dxf>
    <dxf>
      <numFmt numFmtId="2" formatCode="0.00"/>
    </dxf>
    <dxf>
      <alignment horizontal="center"/>
    </dxf>
    <dxf>
      <alignment horizontal="center"/>
    </dxf>
    <dxf>
      <alignment horizontal="center"/>
    </dxf>
    <dxf>
      <alignment horizontal="center"/>
    </dxf>
    <dxf>
      <alignment horizontal="center"/>
    </dxf>
    <dxf>
      <alignment horizontal="center"/>
    </dxf>
    <dxf>
      <numFmt numFmtId="0" formatCode="General"/>
    </dxf>
    <dxf>
      <alignment horizontal="center"/>
    </dxf>
    <dxf>
      <alignment horizontal="center"/>
    </dxf>
    <dxf>
      <alignment horizontal="center"/>
    </dxf>
    <dxf>
      <numFmt numFmtId="164"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0.0"/>
    </dxf>
    <dxf>
      <numFmt numFmtId="164" formatCode="0.0"/>
    </dxf>
    <dxf>
      <alignment horizontal="center"/>
    </dxf>
    <dxf>
      <alignment horizontal="center"/>
    </dxf>
    <dxf>
      <alignment horizontal="center"/>
    </dxf>
    <dxf>
      <alignment horizontal="center"/>
    </dxf>
    <dxf>
      <alignment horizontal="center"/>
    </dxf>
    <dxf>
      <numFmt numFmtId="164" formatCode="0.0"/>
    </dxf>
    <dxf>
      <alignment horizontal="center"/>
    </dxf>
    <dxf>
      <alignment horizontal="center"/>
    </dxf>
    <dxf>
      <alignment horizontal="center"/>
    </dxf>
    <dxf>
      <alignment horizontal="center"/>
    </dxf>
    <dxf>
      <alignment horizontal="center"/>
    </dxf>
    <dxf>
      <numFmt numFmtId="165" formatCode="_-[$$-409]* #,##0.00_ ;_-[$$-409]* \-#,##0.00\ ;_-[$$-409]* &quot;-&quot;??_ ;_-@_ "/>
    </dxf>
    <dxf>
      <alignment horizontal="center"/>
    </dxf>
    <dxf>
      <alignment horizontal="center"/>
    </dxf>
    <dxf>
      <alignment horizontal="center"/>
    </dxf>
    <dxf>
      <alignment horizontal="center"/>
    </dxf>
    <dxf>
      <alignment horizontal="center"/>
    </dxf>
    <dxf>
      <numFmt numFmtId="164" formatCode="0.0"/>
    </dxf>
    <dxf>
      <alignment horizontal="center"/>
    </dxf>
    <dxf>
      <alignment horizontal="center"/>
    </dxf>
    <dxf>
      <alignment horizontal="center"/>
    </dxf>
    <dxf>
      <alignment horizontal="center"/>
    </dxf>
    <dxf>
      <alignment horizontal="center"/>
    </dxf>
    <dxf>
      <alignment horizontal="center"/>
    </dxf>
    <dxf>
      <numFmt numFmtId="165" formatCode="_-[$$-409]* #,##0.00_ ;_-[$$-409]* \-#,##0.00\ ;_-[$$-409]* &quot;-&quot;??_ ;_-@_ "/>
    </dxf>
    <dxf>
      <alignment horizontal="center"/>
    </dxf>
    <dxf>
      <alignment horizontal="center"/>
    </dxf>
    <dxf>
      <alignment horizontal="center"/>
    </dxf>
    <dxf>
      <alignment horizontal="center"/>
    </dxf>
    <dxf>
      <alignment horizontal="center"/>
    </dxf>
    <dxf>
      <numFmt numFmtId="164" formatCode="0.0"/>
    </dxf>
    <dxf>
      <alignment horizontal="center"/>
    </dxf>
    <dxf>
      <alignment horizontal="center"/>
    </dxf>
    <dxf>
      <alignment horizontal="center"/>
    </dxf>
    <dxf>
      <alignment horizontal="center"/>
    </dxf>
    <dxf>
      <alignment horizontal="center"/>
    </dxf>
    <dxf>
      <numFmt numFmtId="164" formatCode="0.0"/>
    </dxf>
    <dxf>
      <alignment horizontal="center"/>
    </dxf>
    <dxf>
      <alignment horizontal="center"/>
    </dxf>
    <dxf>
      <alignment horizontal="center"/>
    </dxf>
    <dxf>
      <alignment horizontal="center"/>
    </dxf>
    <dxf>
      <alignment horizontal="center"/>
    </dxf>
    <dxf>
      <numFmt numFmtId="166" formatCode="0.0000000"/>
    </dxf>
    <dxf>
      <numFmt numFmtId="164" formatCode="0.0"/>
    </dxf>
    <dxf>
      <numFmt numFmtId="164" formatCode="0.0"/>
    </dxf>
    <dxf>
      <alignment horizontal="center"/>
    </dxf>
    <dxf>
      <alignment horizontal="center"/>
    </dxf>
    <dxf>
      <alignment horizontal="center"/>
    </dxf>
    <dxf>
      <numFmt numFmtId="165" formatCode="_-[$$-409]* #,##0.00_ ;_-[$$-409]* \-#,##0.00\ ;_-[$$-409]* &quot;-&quot;??_ ;_-@_ "/>
    </dxf>
    <dxf>
      <numFmt numFmtId="2" formatCode="0.00"/>
    </dxf>
    <dxf>
      <alignment horizontal="center"/>
    </dxf>
    <dxf>
      <alignment horizontal="center"/>
    </dxf>
    <dxf>
      <alignment horizontal="center"/>
    </dxf>
    <dxf>
      <alignment horizontal="center"/>
    </dxf>
    <dxf>
      <alignment horizontal="center"/>
    </dxf>
    <dxf>
      <alignment horizontal="center"/>
    </dxf>
    <dxf>
      <numFmt numFmtId="0" formatCode="General"/>
    </dxf>
    <dxf>
      <alignment horizontal="center"/>
    </dxf>
    <dxf>
      <alignment horizontal="center"/>
    </dxf>
    <dxf>
      <alignment horizontal="center"/>
    </dxf>
    <dxf>
      <numFmt numFmtId="164"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0.0"/>
    </dxf>
    <dxf>
      <numFmt numFmtId="164" formatCode="0.0"/>
    </dxf>
    <dxf>
      <alignment horizontal="center"/>
    </dxf>
    <dxf>
      <alignment horizontal="center"/>
    </dxf>
    <dxf>
      <alignment horizontal="center"/>
    </dxf>
    <dxf>
      <alignment horizontal="center"/>
    </dxf>
    <dxf>
      <alignment horizontal="center"/>
    </dxf>
    <dxf>
      <numFmt numFmtId="164" formatCode="0.0"/>
    </dxf>
    <dxf>
      <alignment horizontal="center"/>
    </dxf>
    <dxf>
      <alignment horizontal="center"/>
    </dxf>
    <dxf>
      <alignment horizontal="center"/>
    </dxf>
    <dxf>
      <alignment horizontal="center"/>
    </dxf>
    <dxf>
      <alignment horizontal="center"/>
    </dxf>
    <dxf>
      <numFmt numFmtId="165" formatCode="_-[$$-409]* #,##0.00_ ;_-[$$-409]* \-#,##0.00\ ;_-[$$-409]* &quot;-&quot;??_ ;_-@_ "/>
    </dxf>
    <dxf>
      <alignment horizontal="center"/>
    </dxf>
    <dxf>
      <alignment horizontal="center"/>
    </dxf>
    <dxf>
      <alignment horizontal="center"/>
    </dxf>
    <dxf>
      <alignment horizontal="center"/>
    </dxf>
    <dxf>
      <alignment horizontal="center"/>
    </dxf>
    <dxf>
      <numFmt numFmtId="164" formatCode="0.0"/>
    </dxf>
    <dxf>
      <alignment horizontal="center"/>
    </dxf>
    <dxf>
      <alignment horizontal="center"/>
    </dxf>
    <dxf>
      <alignment horizontal="center"/>
    </dxf>
    <dxf>
      <alignment horizontal="center"/>
    </dxf>
    <dxf>
      <alignment horizontal="center"/>
    </dxf>
    <dxf>
      <alignment horizontal="center"/>
    </dxf>
    <dxf>
      <numFmt numFmtId="165" formatCode="_-[$$-409]* #,##0.00_ ;_-[$$-409]* \-#,##0.00\ ;_-[$$-409]* &quot;-&quot;??_ ;_-@_ "/>
    </dxf>
    <dxf>
      <alignment horizontal="center"/>
    </dxf>
    <dxf>
      <alignment horizontal="center"/>
    </dxf>
    <dxf>
      <alignment horizontal="center"/>
    </dxf>
    <dxf>
      <alignment horizontal="center"/>
    </dxf>
    <dxf>
      <alignment horizontal="center"/>
    </dxf>
    <dxf>
      <numFmt numFmtId="164" formatCode="0.0"/>
    </dxf>
    <dxf>
      <alignment horizontal="center"/>
    </dxf>
    <dxf>
      <alignment horizontal="center"/>
    </dxf>
    <dxf>
      <alignment horizontal="center"/>
    </dxf>
    <dxf>
      <alignment horizontal="center"/>
    </dxf>
    <dxf>
      <alignment horizontal="center"/>
    </dxf>
    <dxf>
      <numFmt numFmtId="164" formatCode="0.0"/>
    </dxf>
    <dxf>
      <alignment horizontal="center"/>
    </dxf>
    <dxf>
      <alignment horizontal="center"/>
    </dxf>
    <dxf>
      <alignment horizontal="center"/>
    </dxf>
    <dxf>
      <alignment horizontal="center"/>
    </dxf>
    <dxf>
      <alignment horizontal="center"/>
    </dxf>
    <dxf>
      <numFmt numFmtId="166" formatCode="0.0000000"/>
    </dxf>
    <dxf>
      <numFmt numFmtId="164" formatCode="0.0"/>
    </dxf>
    <dxf>
      <numFmt numFmtId="164" formatCode="0.0"/>
    </dxf>
    <dxf>
      <alignment horizontal="center"/>
    </dxf>
    <dxf>
      <alignment horizontal="center"/>
    </dxf>
    <dxf>
      <alignment horizontal="center"/>
    </dxf>
    <dxf>
      <numFmt numFmtId="165" formatCode="_-[$$-409]* #,##0.00_ ;_-[$$-409]* \-#,##0.00\ ;_-[$$-409]* &quot;-&quot;??_ ;_-@_ "/>
    </dxf>
    <dxf>
      <numFmt numFmtId="2" formatCode="0.00"/>
    </dxf>
    <dxf>
      <alignment horizontal="center"/>
    </dxf>
    <dxf>
      <alignment horizontal="center"/>
    </dxf>
    <dxf>
      <alignment horizontal="center"/>
    </dxf>
    <dxf>
      <alignment horizontal="center"/>
    </dxf>
    <dxf>
      <alignment horizontal="center"/>
    </dxf>
    <dxf>
      <alignment horizontal="center"/>
    </dxf>
    <dxf>
      <numFmt numFmtId="0" formatCode="General"/>
    </dxf>
    <dxf>
      <alignment horizontal="center"/>
    </dxf>
    <dxf>
      <alignment horizontal="center"/>
    </dxf>
    <dxf>
      <alignment horizontal="center"/>
    </dxf>
    <dxf>
      <numFmt numFmtId="164"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0.0"/>
    </dxf>
    <dxf>
      <numFmt numFmtId="164" formatCode="0.0"/>
    </dxf>
    <dxf>
      <alignment horizontal="center"/>
    </dxf>
    <dxf>
      <alignment horizontal="center"/>
    </dxf>
    <dxf>
      <alignment horizontal="center"/>
    </dxf>
    <dxf>
      <alignment horizontal="center"/>
    </dxf>
    <dxf>
      <alignment horizontal="center"/>
    </dxf>
    <dxf>
      <numFmt numFmtId="164" formatCode="0.0"/>
    </dxf>
    <dxf>
      <alignment horizontal="center"/>
    </dxf>
    <dxf>
      <alignment horizontal="center"/>
    </dxf>
    <dxf>
      <alignment horizontal="center"/>
    </dxf>
    <dxf>
      <alignment horizontal="center"/>
    </dxf>
    <dxf>
      <alignment horizontal="center"/>
    </dxf>
    <dxf>
      <numFmt numFmtId="165" formatCode="_-[$$-409]* #,##0.00_ ;_-[$$-409]* \-#,##0.00\ ;_-[$$-409]* &quot;-&quot;??_ ;_-@_ "/>
    </dxf>
    <dxf>
      <alignment horizontal="center"/>
    </dxf>
    <dxf>
      <alignment horizontal="center"/>
    </dxf>
    <dxf>
      <alignment horizontal="center"/>
    </dxf>
    <dxf>
      <alignment horizontal="center"/>
    </dxf>
    <dxf>
      <alignment horizontal="center"/>
    </dxf>
    <dxf>
      <numFmt numFmtId="164" formatCode="0.0"/>
    </dxf>
    <dxf>
      <alignment horizontal="center"/>
    </dxf>
    <dxf>
      <alignment horizontal="center"/>
    </dxf>
    <dxf>
      <alignment horizontal="center"/>
    </dxf>
    <dxf>
      <alignment horizontal="center"/>
    </dxf>
    <dxf>
      <alignment horizontal="center"/>
    </dxf>
    <dxf>
      <alignment horizontal="center"/>
    </dxf>
    <dxf>
      <numFmt numFmtId="165" formatCode="_-[$$-409]* #,##0.00_ ;_-[$$-409]* \-#,##0.00\ ;_-[$$-409]* &quot;-&quot;??_ ;_-@_ "/>
    </dxf>
    <dxf>
      <alignment horizontal="center"/>
    </dxf>
    <dxf>
      <alignment horizontal="center"/>
    </dxf>
    <dxf>
      <alignment horizontal="center"/>
    </dxf>
    <dxf>
      <alignment horizontal="center"/>
    </dxf>
    <dxf>
      <alignment horizontal="center"/>
    </dxf>
    <dxf>
      <numFmt numFmtId="164" formatCode="0.0"/>
    </dxf>
    <dxf>
      <alignment horizontal="center"/>
    </dxf>
    <dxf>
      <alignment horizontal="center"/>
    </dxf>
    <dxf>
      <alignment horizontal="center"/>
    </dxf>
    <dxf>
      <alignment horizontal="center"/>
    </dxf>
    <dxf>
      <alignment horizontal="center"/>
    </dxf>
    <dxf>
      <numFmt numFmtId="164" formatCode="0.0"/>
    </dxf>
    <dxf>
      <alignment horizontal="center"/>
    </dxf>
    <dxf>
      <alignment horizontal="center"/>
    </dxf>
    <dxf>
      <alignment horizontal="center"/>
    </dxf>
    <dxf>
      <alignment horizontal="center"/>
    </dxf>
    <dxf>
      <alignment horizontal="center"/>
    </dxf>
    <dxf>
      <numFmt numFmtId="166" formatCode="0.0000000"/>
    </dxf>
    <dxf>
      <numFmt numFmtId="164" formatCode="0.0"/>
    </dxf>
    <dxf>
      <numFmt numFmtId="164" formatCode="0.0"/>
    </dxf>
    <dxf>
      <alignment horizontal="center"/>
    </dxf>
    <dxf>
      <alignment horizontal="center"/>
    </dxf>
    <dxf>
      <alignment horizontal="center"/>
    </dxf>
    <dxf>
      <numFmt numFmtId="165" formatCode="_-[$$-409]* #,##0.00_ ;_-[$$-409]* \-#,##0.00\ ;_-[$$-409]* &quot;-&quot;??_ ;_-@_ "/>
    </dxf>
    <dxf>
      <numFmt numFmtId="2" formatCode="0.00"/>
    </dxf>
    <dxf>
      <alignment horizontal="center"/>
    </dxf>
    <dxf>
      <alignment horizontal="center"/>
    </dxf>
    <dxf>
      <alignment horizontal="center"/>
    </dxf>
    <dxf>
      <alignment horizontal="center"/>
    </dxf>
    <dxf>
      <alignment horizontal="center"/>
    </dxf>
    <dxf>
      <alignment horizontal="center"/>
    </dxf>
    <dxf>
      <numFmt numFmtId="0" formatCode="General"/>
    </dxf>
    <dxf>
      <alignment horizontal="center"/>
    </dxf>
    <dxf>
      <alignment horizontal="center"/>
    </dxf>
    <dxf>
      <alignment horizontal="center"/>
    </dxf>
    <dxf>
      <numFmt numFmtId="164"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0.0"/>
    </dxf>
    <dxf>
      <numFmt numFmtId="164" formatCode="0.0"/>
    </dxf>
    <dxf>
      <alignment horizontal="center"/>
    </dxf>
    <dxf>
      <alignment horizontal="center"/>
    </dxf>
    <dxf>
      <alignment horizontal="center"/>
    </dxf>
    <dxf>
      <alignment horizontal="center"/>
    </dxf>
    <dxf>
      <alignment horizontal="center"/>
    </dxf>
    <dxf>
      <numFmt numFmtId="164" formatCode="0.0"/>
    </dxf>
    <dxf>
      <alignment horizontal="center"/>
    </dxf>
    <dxf>
      <alignment horizontal="center"/>
    </dxf>
    <dxf>
      <alignment horizontal="center"/>
    </dxf>
    <dxf>
      <alignment horizontal="center"/>
    </dxf>
    <dxf>
      <alignment horizontal="center"/>
    </dxf>
    <dxf>
      <numFmt numFmtId="165" formatCode="_-[$$-409]* #,##0.00_ ;_-[$$-409]* \-#,##0.00\ ;_-[$$-409]* &quot;-&quot;??_ ;_-@_ "/>
    </dxf>
    <dxf>
      <alignment horizontal="center"/>
    </dxf>
    <dxf>
      <alignment horizontal="center"/>
    </dxf>
    <dxf>
      <alignment horizontal="center"/>
    </dxf>
    <dxf>
      <alignment horizontal="center"/>
    </dxf>
    <dxf>
      <alignment horizontal="center"/>
    </dxf>
    <dxf>
      <numFmt numFmtId="164" formatCode="0.0"/>
    </dxf>
    <dxf>
      <alignment horizontal="center"/>
    </dxf>
    <dxf>
      <alignment horizontal="center"/>
    </dxf>
    <dxf>
      <alignment horizontal="center"/>
    </dxf>
    <dxf>
      <alignment horizontal="center"/>
    </dxf>
    <dxf>
      <alignment horizontal="center"/>
    </dxf>
    <dxf>
      <alignment horizontal="center"/>
    </dxf>
    <dxf>
      <numFmt numFmtId="165" formatCode="_-[$$-409]* #,##0.00_ ;_-[$$-409]* \-#,##0.00\ ;_-[$$-409]* &quot;-&quot;??_ ;_-@_ "/>
    </dxf>
    <dxf>
      <alignment horizontal="center"/>
    </dxf>
    <dxf>
      <alignment horizontal="center"/>
    </dxf>
    <dxf>
      <alignment horizontal="center"/>
    </dxf>
    <dxf>
      <alignment horizontal="center"/>
    </dxf>
    <dxf>
      <alignment horizontal="center"/>
    </dxf>
    <dxf>
      <numFmt numFmtId="164" formatCode="0.0"/>
    </dxf>
    <dxf>
      <alignment horizontal="center"/>
    </dxf>
    <dxf>
      <alignment horizontal="center"/>
    </dxf>
    <dxf>
      <alignment horizontal="center"/>
    </dxf>
    <dxf>
      <alignment horizontal="center"/>
    </dxf>
    <dxf>
      <alignment horizontal="center"/>
    </dxf>
    <dxf>
      <numFmt numFmtId="164" formatCode="0.0"/>
    </dxf>
    <dxf>
      <alignment horizontal="center"/>
    </dxf>
    <dxf>
      <alignment horizontal="center"/>
    </dxf>
    <dxf>
      <alignment horizontal="center"/>
    </dxf>
    <dxf>
      <alignment horizontal="center"/>
    </dxf>
    <dxf>
      <alignment horizontal="center"/>
    </dxf>
    <dxf>
      <numFmt numFmtId="166" formatCode="0.0000000"/>
    </dxf>
    <dxf>
      <numFmt numFmtId="164" formatCode="0.0"/>
    </dxf>
    <dxf>
      <numFmt numFmtId="164" formatCode="0.0"/>
    </dxf>
    <dxf>
      <alignment horizontal="center"/>
    </dxf>
    <dxf>
      <alignment horizontal="center"/>
    </dxf>
    <dxf>
      <alignment horizontal="center"/>
    </dxf>
    <dxf>
      <numFmt numFmtId="165" formatCode="_-[$$-409]* #,##0.00_ ;_-[$$-409]* \-#,##0.00\ ;_-[$$-409]* &quot;-&quot;??_ ;_-@_ "/>
    </dxf>
    <dxf>
      <numFmt numFmtId="2" formatCode="0.00"/>
    </dxf>
    <dxf>
      <alignment horizontal="center"/>
    </dxf>
    <dxf>
      <alignment horizontal="center"/>
    </dxf>
    <dxf>
      <alignment horizontal="center"/>
    </dxf>
    <dxf>
      <alignment horizontal="center"/>
    </dxf>
    <dxf>
      <alignment horizontal="center"/>
    </dxf>
    <dxf>
      <alignment horizontal="center"/>
    </dxf>
    <dxf>
      <numFmt numFmtId="0" formatCode="General"/>
    </dxf>
    <dxf>
      <alignment horizontal="center"/>
    </dxf>
    <dxf>
      <alignment horizontal="center"/>
    </dxf>
    <dxf>
      <alignment horizontal="center"/>
    </dxf>
    <dxf>
      <numFmt numFmtId="164"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0.0"/>
    </dxf>
    <dxf>
      <numFmt numFmtId="164" formatCode="0.0"/>
    </dxf>
    <dxf>
      <alignment horizontal="center"/>
    </dxf>
    <dxf>
      <alignment horizontal="center"/>
    </dxf>
    <dxf>
      <alignment horizontal="center"/>
    </dxf>
    <dxf>
      <alignment horizontal="center"/>
    </dxf>
    <dxf>
      <alignment horizontal="center"/>
    </dxf>
    <dxf>
      <numFmt numFmtId="164" formatCode="0.0"/>
    </dxf>
    <dxf>
      <alignment horizontal="center"/>
    </dxf>
    <dxf>
      <alignment horizontal="center"/>
    </dxf>
    <dxf>
      <alignment horizontal="center"/>
    </dxf>
    <dxf>
      <alignment horizontal="center"/>
    </dxf>
    <dxf>
      <alignment horizontal="center"/>
    </dxf>
    <dxf>
      <numFmt numFmtId="165" formatCode="_-[$$-409]* #,##0.00_ ;_-[$$-409]* \-#,##0.00\ ;_-[$$-409]* &quot;-&quot;??_ ;_-@_ "/>
    </dxf>
    <dxf>
      <alignment horizontal="center"/>
    </dxf>
    <dxf>
      <alignment horizontal="center"/>
    </dxf>
    <dxf>
      <alignment horizontal="center"/>
    </dxf>
    <dxf>
      <alignment horizontal="center"/>
    </dxf>
    <dxf>
      <alignment horizontal="center"/>
    </dxf>
    <dxf>
      <numFmt numFmtId="164" formatCode="0.0"/>
    </dxf>
    <dxf>
      <alignment horizontal="center"/>
    </dxf>
    <dxf>
      <alignment horizontal="center"/>
    </dxf>
    <dxf>
      <alignment horizontal="center"/>
    </dxf>
    <dxf>
      <alignment horizontal="center"/>
    </dxf>
    <dxf>
      <alignment horizontal="center"/>
    </dxf>
    <dxf>
      <alignment horizontal="center"/>
    </dxf>
    <dxf>
      <numFmt numFmtId="165" formatCode="_-[$$-409]* #,##0.00_ ;_-[$$-409]* \-#,##0.00\ ;_-[$$-409]* &quot;-&quot;??_ ;_-@_ "/>
    </dxf>
    <dxf>
      <alignment horizontal="center"/>
    </dxf>
    <dxf>
      <alignment horizontal="center"/>
    </dxf>
    <dxf>
      <alignment horizontal="center"/>
    </dxf>
    <dxf>
      <alignment horizontal="center"/>
    </dxf>
    <dxf>
      <alignment horizontal="center"/>
    </dxf>
    <dxf>
      <numFmt numFmtId="164" formatCode="0.0"/>
    </dxf>
    <dxf>
      <alignment horizontal="center"/>
    </dxf>
    <dxf>
      <alignment horizontal="center"/>
    </dxf>
    <dxf>
      <alignment horizontal="center"/>
    </dxf>
    <dxf>
      <alignment horizontal="center"/>
    </dxf>
    <dxf>
      <alignment horizontal="center"/>
    </dxf>
    <dxf>
      <numFmt numFmtId="164" formatCode="0.0"/>
    </dxf>
    <dxf>
      <alignment horizontal="center"/>
    </dxf>
    <dxf>
      <alignment horizontal="center"/>
    </dxf>
    <dxf>
      <alignment horizontal="center"/>
    </dxf>
    <dxf>
      <alignment horizontal="center"/>
    </dxf>
    <dxf>
      <alignment horizontal="center"/>
    </dxf>
    <dxf>
      <numFmt numFmtId="166" formatCode="0.0000000"/>
    </dxf>
    <dxf>
      <numFmt numFmtId="164" formatCode="0.0"/>
    </dxf>
    <dxf>
      <numFmt numFmtId="164" formatCode="0.0"/>
    </dxf>
    <dxf>
      <alignment horizontal="center"/>
    </dxf>
    <dxf>
      <alignment horizontal="center"/>
    </dxf>
    <dxf>
      <alignment horizontal="center"/>
    </dxf>
    <dxf>
      <numFmt numFmtId="165" formatCode="_-[$$-409]* #,##0.00_ ;_-[$$-409]* \-#,##0.00\ ;_-[$$-409]* &quot;-&quot;??_ ;_-@_ "/>
    </dxf>
    <dxf>
      <numFmt numFmtId="2" formatCode="0.00"/>
    </dxf>
    <dxf>
      <alignment horizontal="center"/>
    </dxf>
    <dxf>
      <alignment horizontal="center"/>
    </dxf>
    <dxf>
      <alignment horizontal="center"/>
    </dxf>
    <dxf>
      <numFmt numFmtId="164" formatCode="0.0"/>
    </dxf>
    <dxf>
      <alignment horizontal="center"/>
    </dxf>
    <dxf>
      <alignment horizontal="center"/>
    </dxf>
    <dxf>
      <alignment horizontal="center"/>
    </dxf>
    <dxf>
      <alignment horizontal="center"/>
    </dxf>
    <dxf>
      <alignment horizontal="center"/>
    </dxf>
    <dxf>
      <numFmt numFmtId="164" formatCode="0.0"/>
    </dxf>
    <dxf>
      <alignment horizontal="center"/>
    </dxf>
    <dxf>
      <alignment horizontal="center"/>
    </dxf>
    <dxf>
      <alignment horizontal="center"/>
    </dxf>
    <dxf>
      <numFmt numFmtId="164" formatCode="0.0"/>
    </dxf>
    <dxf>
      <alignment horizontal="center"/>
    </dxf>
    <dxf>
      <alignment horizontal="center"/>
    </dxf>
    <dxf>
      <alignment horizontal="center"/>
    </dxf>
    <dxf>
      <alignment horizontal="center"/>
    </dxf>
    <dxf>
      <alignment horizontal="center"/>
    </dxf>
    <dxf>
      <numFmt numFmtId="2" formatCode="0.00"/>
    </dxf>
    <dxf>
      <numFmt numFmtId="165" formatCode="_-[$$-409]* #,##0.00_ ;_-[$$-409]* \-#,##0.00\ ;_-[$$-409]* &quot;-&quot;??_ ;_-@_ "/>
    </dxf>
    <dxf>
      <alignment horizontal="center"/>
    </dxf>
    <dxf>
      <alignment horizontal="center"/>
    </dxf>
    <dxf>
      <alignment horizontal="center"/>
    </dxf>
    <dxf>
      <numFmt numFmtId="164" formatCode="0.0"/>
    </dxf>
    <dxf>
      <numFmt numFmtId="164" formatCode="0.0"/>
    </dxf>
    <dxf>
      <alignment horizontal="center"/>
    </dxf>
    <dxf>
      <alignment horizontal="center"/>
    </dxf>
    <dxf>
      <alignment horizontal="center"/>
    </dxf>
    <dxf>
      <numFmt numFmtId="164" formatCode="0.0"/>
    </dxf>
    <dxf>
      <numFmt numFmtId="166" formatCode="0.0000000"/>
    </dxf>
    <dxf>
      <alignment horizontal="center"/>
    </dxf>
    <dxf>
      <alignment horizontal="center"/>
    </dxf>
    <dxf>
      <alignment horizontal="center"/>
    </dxf>
    <dxf>
      <alignment horizontal="center"/>
    </dxf>
    <dxf>
      <alignment horizontal="center"/>
    </dxf>
    <dxf>
      <numFmt numFmtId="164" formatCode="0.0"/>
    </dxf>
    <dxf>
      <alignment horizontal="center"/>
    </dxf>
    <dxf>
      <alignment horizontal="center"/>
    </dxf>
    <dxf>
      <alignment horizontal="center"/>
    </dxf>
    <dxf>
      <alignment horizontal="center"/>
    </dxf>
    <dxf>
      <alignment horizontal="center"/>
    </dxf>
    <dxf>
      <numFmt numFmtId="165" formatCode="_-[$$-409]* #,##0.00_ ;_-[$$-409]* \-#,##0.00\ ;_-[$$-409]* &quot;-&quot;??_ ;_-@_ "/>
    </dxf>
    <dxf>
      <alignment horizontal="center"/>
    </dxf>
    <dxf>
      <alignment horizontal="center"/>
    </dxf>
    <dxf>
      <alignment horizontal="center"/>
    </dxf>
    <dxf>
      <numFmt numFmtId="164"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0.0"/>
    </dxf>
    <dxf>
      <alignment horizontal="center"/>
    </dxf>
    <dxf>
      <alignment horizontal="center"/>
    </dxf>
    <dxf>
      <alignment horizontal="center"/>
    </dxf>
    <dxf>
      <alignment horizontal="center"/>
    </dxf>
    <dxf>
      <alignment horizontal="center"/>
    </dxf>
    <dxf>
      <numFmt numFmtId="165" formatCode="_-[$$-409]* #,##0.00_ ;_-[$$-409]* \-#,##0.00\ ;_-[$$-409]* &quot;-&quot;??_ ;_-@_ "/>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0" formatCode="General"/>
    </dxf>
    <dxf>
      <alignment horizontal="center"/>
    </dxf>
    <dxf>
      <alignment horizontal="center"/>
    </dxf>
    <dxf>
      <alignment horizontal="center"/>
    </dxf>
    <dxf>
      <font>
        <b val="0"/>
        <i val="0"/>
        <strike val="0"/>
        <condense val="0"/>
        <extend val="0"/>
        <outline val="0"/>
        <shadow val="0"/>
        <u val="none"/>
        <vertAlign val="baseline"/>
        <sz val="11"/>
        <color indexed="8"/>
        <name val="Calibri"/>
        <family val="2"/>
        <charset val="134"/>
        <scheme val="none"/>
      </font>
      <alignment horizontal="general" vertical="center" textRotation="0" wrapText="0" indent="0" justifyLastLine="0" shrinkToFit="0" readingOrder="0"/>
      <border diagonalUp="0" diagonalDown="0">
        <left/>
        <right/>
        <top style="thin">
          <color theme="1"/>
        </top>
        <bottom/>
        <vertical/>
        <horizontal/>
      </border>
    </dxf>
    <dxf>
      <font>
        <b val="0"/>
        <i val="0"/>
        <strike val="0"/>
        <condense val="0"/>
        <extend val="0"/>
        <outline val="0"/>
        <shadow val="0"/>
        <u val="none"/>
        <vertAlign val="baseline"/>
        <sz val="11"/>
        <color indexed="8"/>
        <name val="Calibri"/>
        <family val="2"/>
        <charset val="134"/>
        <scheme val="none"/>
      </font>
      <alignment horizontal="general" vertical="center" textRotation="0" wrapText="0"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indexed="8"/>
        <name val="Calibri"/>
        <family val="2"/>
        <charset val="134"/>
        <scheme val="none"/>
      </font>
      <numFmt numFmtId="165" formatCode="_-[$$-409]* #,##0.00_ ;_-[$$-409]* \-#,##0.00\ ;_-[$$-409]* &quot;-&quot;??_ ;_-@_ "/>
      <alignment horizontal="general" vertical="center" textRotation="0" wrapText="0"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indexed="8"/>
        <name val="Calibri"/>
        <family val="2"/>
        <charset val="134"/>
        <scheme val="none"/>
      </font>
      <alignment horizontal="general" vertical="center" textRotation="0" wrapText="0"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indexed="8"/>
        <name val="Calibri"/>
        <family val="2"/>
        <charset val="134"/>
        <scheme val="none"/>
      </font>
      <alignment horizontal="general" vertical="center" textRotation="0" wrapText="0" indent="0" justifyLastLine="0" shrinkToFit="0" readingOrder="0"/>
      <border diagonalUp="0" diagonalDown="0">
        <left/>
        <right/>
        <top style="thin">
          <color theme="1"/>
        </top>
        <bottom/>
        <vertical/>
        <horizontal/>
      </border>
    </dxf>
    <dxf>
      <font>
        <b val="0"/>
        <i val="0"/>
        <strike val="0"/>
        <condense val="0"/>
        <extend val="0"/>
        <outline val="0"/>
        <shadow val="0"/>
        <u val="none"/>
        <vertAlign val="baseline"/>
        <sz val="11"/>
        <color indexed="8"/>
        <name val="Calibri"/>
        <family val="2"/>
        <charset val="134"/>
        <scheme val="none"/>
      </font>
      <alignment horizontal="general" vertical="center" textRotation="0" wrapText="0" indent="0" justifyLastLine="0" shrinkToFit="0" readingOrder="0"/>
      <border diagonalUp="0" diagonalDown="0">
        <left/>
        <right/>
        <top style="thin">
          <color theme="1"/>
        </top>
        <bottom/>
        <vertical/>
        <horizontal/>
      </border>
    </dxf>
    <dxf>
      <font>
        <b val="0"/>
        <i val="0"/>
        <strike val="0"/>
        <condense val="0"/>
        <extend val="0"/>
        <outline val="0"/>
        <shadow val="0"/>
        <u val="none"/>
        <vertAlign val="baseline"/>
        <sz val="11"/>
        <color indexed="8"/>
        <name val="Calibri"/>
        <family val="2"/>
        <charset val="134"/>
        <scheme val="none"/>
      </font>
      <alignment horizontal="general" vertical="center" textRotation="0" wrapText="0" indent="0" justifyLastLine="0" shrinkToFit="0" readingOrder="0"/>
      <border diagonalUp="0" diagonalDown="0">
        <left/>
        <right/>
        <top style="thin">
          <color theme="1"/>
        </top>
        <bottom/>
        <vertical/>
        <horizontal/>
      </border>
    </dxf>
    <dxf>
      <font>
        <b val="0"/>
        <i val="0"/>
        <strike val="0"/>
        <condense val="0"/>
        <extend val="0"/>
        <outline val="0"/>
        <shadow val="0"/>
        <u val="none"/>
        <vertAlign val="baseline"/>
        <sz val="11"/>
        <color indexed="8"/>
        <name val="Calibri"/>
        <family val="2"/>
        <charset val="134"/>
        <scheme val="none"/>
      </font>
      <alignment horizontal="general" vertical="center" textRotation="0" wrapText="0" indent="0" justifyLastLine="0" shrinkToFit="0" readingOrder="0"/>
      <border diagonalUp="0" diagonalDown="0">
        <left/>
        <right/>
        <top style="thin">
          <color theme="1"/>
        </top>
        <bottom/>
        <vertical/>
        <horizontal/>
      </border>
    </dxf>
    <dxf>
      <font>
        <b val="0"/>
        <i val="0"/>
        <strike val="0"/>
        <condense val="0"/>
        <extend val="0"/>
        <outline val="0"/>
        <shadow val="0"/>
        <u val="none"/>
        <vertAlign val="baseline"/>
        <sz val="11"/>
        <color indexed="8"/>
        <name val="Calibri"/>
        <family val="2"/>
        <charset val="134"/>
        <scheme val="none"/>
      </font>
      <alignment horizontal="general" vertical="center" textRotation="0" wrapText="0" indent="0" justifyLastLine="0" shrinkToFit="0" readingOrder="0"/>
      <border diagonalUp="0" diagonalDown="0">
        <left/>
        <right/>
        <top style="thin">
          <color theme="1"/>
        </top>
        <bottom/>
        <vertical/>
        <horizontal/>
      </border>
    </dxf>
    <dxf>
      <font>
        <b val="0"/>
        <i val="0"/>
        <strike val="0"/>
        <condense val="0"/>
        <extend val="0"/>
        <outline val="0"/>
        <shadow val="0"/>
        <u val="none"/>
        <vertAlign val="baseline"/>
        <sz val="11"/>
        <color indexed="8"/>
        <name val="Calibri"/>
        <family val="2"/>
        <charset val="134"/>
        <scheme val="none"/>
      </font>
      <alignment horizontal="general" vertical="center" textRotation="0" wrapText="0" indent="0" justifyLastLine="0" shrinkToFit="0" readingOrder="0"/>
      <border diagonalUp="0" diagonalDown="0">
        <left/>
        <right/>
        <top style="thin">
          <color theme="1"/>
        </top>
        <bottom/>
        <vertical/>
        <horizontal/>
      </border>
    </dxf>
    <dxf>
      <border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indexed="8"/>
        <name val="Calibri"/>
        <family val="2"/>
        <charset val="134"/>
        <scheme val="none"/>
      </font>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theme="1"/>
          <bgColor theme="1"/>
        </patternFill>
      </fill>
      <alignment horizontal="general" vertical="center" textRotation="0" wrapText="0" indent="0" justifyLastLine="0" shrinkToFit="0" readingOrder="0"/>
    </dxf>
    <dxf>
      <font>
        <b/>
        <i val="0"/>
        <sz val="10"/>
        <color rgb="FF70557B"/>
      </font>
      <fill>
        <patternFill>
          <bgColor theme="5" tint="-0.24994659260841701"/>
        </patternFill>
      </fill>
      <border>
        <bottom style="thin">
          <color theme="5"/>
        </bottom>
        <vertical/>
        <horizontal/>
      </border>
    </dxf>
    <dxf>
      <font>
        <color theme="1"/>
      </font>
      <border>
        <left style="thin">
          <color theme="5"/>
        </left>
        <right style="thin">
          <color theme="5"/>
        </right>
        <top style="thin">
          <color theme="5"/>
        </top>
        <bottom style="thin">
          <color theme="5"/>
        </bottom>
        <vertical/>
        <horizontal/>
      </border>
    </dxf>
    <dxf>
      <font>
        <color rgb="FF70557B"/>
      </font>
      <border>
        <bottom style="thin">
          <color theme="5"/>
        </bottom>
        <vertical/>
        <horizontal/>
      </border>
    </dxf>
    <dxf>
      <font>
        <color theme="1"/>
      </font>
      <border>
        <left style="thin">
          <color theme="5"/>
        </left>
        <right style="thin">
          <color theme="5"/>
        </right>
        <top style="thin">
          <color theme="5"/>
        </top>
        <bottom style="thin">
          <color theme="5"/>
        </bottom>
        <vertical/>
        <horizontal/>
      </border>
    </dxf>
    <dxf>
      <font>
        <b/>
        <color theme="1"/>
      </font>
      <fill>
        <patternFill>
          <bgColor rgb="FFCC00FF"/>
        </patternFill>
      </fill>
      <border>
        <bottom style="thin">
          <color theme="4"/>
        </bottom>
        <vertical/>
        <horizontal/>
      </border>
    </dxf>
    <dxf>
      <font>
        <color theme="1"/>
      </font>
      <fill>
        <patternFill>
          <bgColor rgb="FF7030A0"/>
        </patternFill>
      </fill>
      <border>
        <left style="thin">
          <color theme="4"/>
        </left>
        <right style="thin">
          <color theme="4"/>
        </right>
        <top style="thin">
          <color theme="4"/>
        </top>
        <bottom style="thin">
          <color theme="4"/>
        </bottom>
        <vertical/>
        <horizontal/>
      </border>
    </dxf>
    <dxf>
      <font>
        <b/>
        <color theme="1"/>
      </font>
      <fill>
        <patternFill>
          <bgColor rgb="FFCC00FF"/>
        </patternFill>
      </fill>
      <border>
        <bottom style="thin">
          <color theme="4"/>
        </bottom>
        <vertical/>
        <horizontal/>
      </border>
    </dxf>
    <dxf>
      <font>
        <color theme="1"/>
      </font>
      <fill>
        <patternFill>
          <bgColor rgb="FFFF9933"/>
        </patternFill>
      </fill>
      <border>
        <left style="thin">
          <color theme="4"/>
        </left>
        <right style="thin">
          <color theme="4"/>
        </right>
        <top style="thin">
          <color theme="4"/>
        </top>
        <bottom style="thin">
          <color theme="4"/>
        </bottom>
        <vertical/>
        <horizontal/>
      </border>
    </dxf>
    <dxf>
      <font>
        <b/>
        <color theme="1"/>
      </font>
      <fill>
        <patternFill>
          <bgColor rgb="FFCC00FF"/>
        </patternFill>
      </fill>
      <border>
        <bottom style="thin">
          <color theme="4"/>
        </bottom>
        <vertical/>
        <horizontal/>
      </border>
    </dxf>
    <dxf>
      <font>
        <color theme="1"/>
      </font>
      <fill>
        <patternFill>
          <bgColor rgb="FF7030A0"/>
        </patternFill>
      </fill>
      <border>
        <left style="thin">
          <color theme="4"/>
        </left>
        <right style="thin">
          <color theme="4"/>
        </right>
        <top style="thin">
          <color theme="4"/>
        </top>
        <bottom style="thin">
          <color theme="4"/>
        </bottom>
        <vertical/>
        <horizontal/>
      </border>
    </dxf>
  </dxfs>
  <tableStyles count="5" defaultTableStyle="TableStyleMedium2" defaultPivotStyle="PivotStyleLight16">
    <tableStyle name="SlicerStyleDark1 2" pivot="0" table="0" count="10" xr9:uid="{B585AC66-D2D5-4094-84A6-13B95831E196}">
      <tableStyleElement type="wholeTable" dxfId="1382"/>
      <tableStyleElement type="headerRow" dxfId="1381"/>
    </tableStyle>
    <tableStyle name="SlicerStyleDark1 2 2" pivot="0" table="0" count="10" xr9:uid="{7B31C5D8-A127-43D1-AC34-5A1899DD9258}">
      <tableStyleElement type="wholeTable" dxfId="1380"/>
      <tableStyleElement type="headerRow" dxfId="1379"/>
    </tableStyle>
    <tableStyle name="SlicerStyleDark1 2 3" pivot="0" table="0" count="10" xr9:uid="{5CC04296-A42D-4A04-8FC8-6527C3DF3FBB}">
      <tableStyleElement type="wholeTable" dxfId="1378"/>
      <tableStyleElement type="headerRow" dxfId="1377"/>
    </tableStyle>
    <tableStyle name="SlicerStyleDark2 2" pivot="0" table="0" count="10" xr9:uid="{658BDFC3-8855-4EFB-8A5D-5604120A1C9D}">
      <tableStyleElement type="wholeTable" dxfId="1376"/>
      <tableStyleElement type="headerRow" dxfId="1375"/>
    </tableStyle>
    <tableStyle name="SlicerStyleDark2 3" pivot="0" table="0" count="10" xr9:uid="{B53FA573-51B7-46A6-86CA-573BB3DC320D}">
      <tableStyleElement type="wholeTable" dxfId="1374"/>
      <tableStyleElement type="headerRow" dxfId="1373"/>
    </tableStyle>
  </tableStyles>
  <colors>
    <mruColors>
      <color rgb="FF70557B"/>
      <color rgb="FFCC00FF"/>
      <color rgb="FFFF9933"/>
    </mruColors>
  </colors>
  <extLst>
    <ext xmlns:x14="http://schemas.microsoft.com/office/spreadsheetml/2009/9/main" uri="{46F421CA-312F-682f-3DD2-61675219B42D}">
      <x14:dxfs count="4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rgb="FF7030A0"/>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Dark2 3">
        <x14:slicerStyle name="SlicerStyleDark1 2">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Dark1 2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Dark1 2 3">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Dark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2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26"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pivotCacheDefinition" Target="pivotCache/pivotCacheDefinition17.xml"/><Relationship Id="rId34" Type="http://schemas.openxmlformats.org/officeDocument/2006/relationships/sharedStrings" Target="sharedStrings.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pivotCacheDefinition" Target="pivotCache/pivotCacheDefinition21.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0" Type="http://schemas.openxmlformats.org/officeDocument/2006/relationships/pivotCacheDefinition" Target="pivotCache/pivotCacheDefinition16.xml"/><Relationship Id="rId29"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pivotCacheDefinition" Target="pivotCache/pivotCacheDefinition20.xml"/><Relationship Id="rId32"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pivotCacheDefinition" Target="pivotCache/pivotCacheDefinition19.xml"/><Relationship Id="rId28" Type="http://schemas.microsoft.com/office/2007/relationships/slicerCache" Target="slicerCaches/slicerCache3.xml"/><Relationship Id="rId36" Type="http://schemas.openxmlformats.org/officeDocument/2006/relationships/calcChain" Target="calcChain.xml"/><Relationship Id="rId10" Type="http://schemas.openxmlformats.org/officeDocument/2006/relationships/pivotCacheDefinition" Target="pivotCache/pivotCacheDefinition6.xml"/><Relationship Id="rId19" Type="http://schemas.openxmlformats.org/officeDocument/2006/relationships/pivotCacheDefinition" Target="pivotCache/pivotCacheDefinition15.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pivotCacheDefinition" Target="pivotCache/pivotCacheDefinition18.xml"/><Relationship Id="rId27" Type="http://schemas.microsoft.com/office/2007/relationships/slicerCache" Target="slicerCaches/slicerCache2.xml"/><Relationship Id="rId30" Type="http://schemas.microsoft.com/office/2007/relationships/slicerCache" Target="slicerCaches/slicerCache5.xml"/><Relationship Id="rId35" Type="http://schemas.openxmlformats.org/officeDocument/2006/relationships/powerPivotData" Target="model/item.data"/><Relationship Id="rId8"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9.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10.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4.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5.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[Patient_Analysis_Report.xlsx]Pivot!PivotTable2</c:name>
    <c:fmtId val="3"/>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IN" sz="1100"/>
              <a:t>Gender</a:t>
            </a:r>
            <a:r>
              <a:rPr lang="en-IN" sz="1100" baseline="0"/>
              <a:t> Distribution Across Departments</a:t>
            </a:r>
            <a:endParaRPr lang="en-IN" sz="1100"/>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Pivot!$C$6:$C$7</c:f>
              <c:strCache>
                <c:ptCount val="1"/>
                <c:pt idx="0">
                  <c:v>Female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Pivot!$B$8:$B$13</c:f>
              <c:strCache>
                <c:ptCount val="6"/>
                <c:pt idx="0">
                  <c:v>Cardiology</c:v>
                </c:pt>
                <c:pt idx="1">
                  <c:v>Gastroenterology</c:v>
                </c:pt>
                <c:pt idx="2">
                  <c:v>Neurology</c:v>
                </c:pt>
                <c:pt idx="3">
                  <c:v>Oncology</c:v>
                </c:pt>
                <c:pt idx="4">
                  <c:v>Orthopedics</c:v>
                </c:pt>
                <c:pt idx="5">
                  <c:v>Pediatrics</c:v>
                </c:pt>
              </c:strCache>
            </c:strRef>
          </c:cat>
          <c:val>
            <c:numRef>
              <c:f>Pivot!$C$8:$C$13</c:f>
              <c:numCache>
                <c:formatCode>General</c:formatCode>
                <c:ptCount val="6"/>
                <c:pt idx="0">
                  <c:v>8</c:v>
                </c:pt>
                <c:pt idx="1">
                  <c:v>11</c:v>
                </c:pt>
                <c:pt idx="2">
                  <c:v>7</c:v>
                </c:pt>
                <c:pt idx="3">
                  <c:v>10</c:v>
                </c:pt>
                <c:pt idx="4">
                  <c:v>11</c:v>
                </c:pt>
                <c:pt idx="5">
                  <c:v>10</c:v>
                </c:pt>
              </c:numCache>
            </c:numRef>
          </c:val>
          <c:smooth val="0"/>
          <c:extLst>
            <c:ext xmlns:c16="http://schemas.microsoft.com/office/drawing/2014/chart" uri="{C3380CC4-5D6E-409C-BE32-E72D297353CC}">
              <c16:uniqueId val="{00000000-D236-4CD0-AA95-7DB317EC7799}"/>
            </c:ext>
          </c:extLst>
        </c:ser>
        <c:ser>
          <c:idx val="1"/>
          <c:order val="1"/>
          <c:tx>
            <c:strRef>
              <c:f>Pivot!$D$6:$D$7</c:f>
              <c:strCache>
                <c:ptCount val="1"/>
                <c:pt idx="0">
                  <c:v>Male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Pivot!$B$8:$B$13</c:f>
              <c:strCache>
                <c:ptCount val="6"/>
                <c:pt idx="0">
                  <c:v>Cardiology</c:v>
                </c:pt>
                <c:pt idx="1">
                  <c:v>Gastroenterology</c:v>
                </c:pt>
                <c:pt idx="2">
                  <c:v>Neurology</c:v>
                </c:pt>
                <c:pt idx="3">
                  <c:v>Oncology</c:v>
                </c:pt>
                <c:pt idx="4">
                  <c:v>Orthopedics</c:v>
                </c:pt>
                <c:pt idx="5">
                  <c:v>Pediatrics</c:v>
                </c:pt>
              </c:strCache>
            </c:strRef>
          </c:cat>
          <c:val>
            <c:numRef>
              <c:f>Pivot!$D$8:$D$13</c:f>
              <c:numCache>
                <c:formatCode>General</c:formatCode>
                <c:ptCount val="6"/>
                <c:pt idx="0">
                  <c:v>8</c:v>
                </c:pt>
                <c:pt idx="1">
                  <c:v>21</c:v>
                </c:pt>
                <c:pt idx="2">
                  <c:v>6</c:v>
                </c:pt>
                <c:pt idx="3">
                  <c:v>12</c:v>
                </c:pt>
                <c:pt idx="4">
                  <c:v>14</c:v>
                </c:pt>
                <c:pt idx="5">
                  <c:v>20</c:v>
                </c:pt>
              </c:numCache>
            </c:numRef>
          </c:val>
          <c:smooth val="0"/>
          <c:extLst>
            <c:ext xmlns:c16="http://schemas.microsoft.com/office/drawing/2014/chart" uri="{C3380CC4-5D6E-409C-BE32-E72D297353CC}">
              <c16:uniqueId val="{00000002-7B82-45E9-B242-DB3A2AFF98ED}"/>
            </c:ext>
          </c:extLst>
        </c:ser>
        <c:ser>
          <c:idx val="2"/>
          <c:order val="2"/>
          <c:tx>
            <c:strRef>
              <c:f>Pivot!$E$6:$E$7</c:f>
              <c:strCache>
                <c:ptCount val="1"/>
                <c:pt idx="0">
                  <c:v>Other</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Pivot!$B$8:$B$13</c:f>
              <c:strCache>
                <c:ptCount val="6"/>
                <c:pt idx="0">
                  <c:v>Cardiology</c:v>
                </c:pt>
                <c:pt idx="1">
                  <c:v>Gastroenterology</c:v>
                </c:pt>
                <c:pt idx="2">
                  <c:v>Neurology</c:v>
                </c:pt>
                <c:pt idx="3">
                  <c:v>Oncology</c:v>
                </c:pt>
                <c:pt idx="4">
                  <c:v>Orthopedics</c:v>
                </c:pt>
                <c:pt idx="5">
                  <c:v>Pediatrics</c:v>
                </c:pt>
              </c:strCache>
            </c:strRef>
          </c:cat>
          <c:val>
            <c:numRef>
              <c:f>Pivot!$E$8:$E$13</c:f>
              <c:numCache>
                <c:formatCode>General</c:formatCode>
                <c:ptCount val="6"/>
                <c:pt idx="0">
                  <c:v>8</c:v>
                </c:pt>
                <c:pt idx="1">
                  <c:v>9</c:v>
                </c:pt>
                <c:pt idx="2">
                  <c:v>15</c:v>
                </c:pt>
                <c:pt idx="3">
                  <c:v>9</c:v>
                </c:pt>
                <c:pt idx="4">
                  <c:v>13</c:v>
                </c:pt>
                <c:pt idx="5">
                  <c:v>8</c:v>
                </c:pt>
              </c:numCache>
            </c:numRef>
          </c:val>
          <c:smooth val="0"/>
          <c:extLst>
            <c:ext xmlns:c16="http://schemas.microsoft.com/office/drawing/2014/chart" uri="{C3380CC4-5D6E-409C-BE32-E72D297353CC}">
              <c16:uniqueId val="{00000003-7B82-45E9-B242-DB3A2AFF98ED}"/>
            </c:ext>
          </c:extLst>
        </c:ser>
        <c:dLbls>
          <c:showLegendKey val="0"/>
          <c:showVal val="0"/>
          <c:showCatName val="0"/>
          <c:showSerName val="0"/>
          <c:showPercent val="0"/>
          <c:showBubbleSize val="0"/>
        </c:dLbls>
        <c:marker val="1"/>
        <c:smooth val="0"/>
        <c:axId val="277413023"/>
        <c:axId val="277414463"/>
      </c:lineChart>
      <c:catAx>
        <c:axId val="277413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414463"/>
        <c:crosses val="autoZero"/>
        <c:auto val="1"/>
        <c:lblAlgn val="ctr"/>
        <c:lblOffset val="100"/>
        <c:noMultiLvlLbl val="0"/>
      </c:catAx>
      <c:valAx>
        <c:axId val="2774144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413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[Patient_Analysis_Report.xlsx]Pivot!PivotTable10</c:name>
    <c:fmtId val="3"/>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a:t>Average</a:t>
            </a:r>
            <a:r>
              <a:rPr lang="en-US" sz="1100" baseline="0"/>
              <a:t> Recovery Score By Treatment Type</a:t>
            </a:r>
            <a:endParaRPr lang="en-US" sz="1100"/>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Pivot!$C$16</c:f>
              <c:strCache>
                <c:ptCount val="1"/>
                <c:pt idx="0">
                  <c:v>Total</c:v>
                </c:pt>
              </c:strCache>
            </c:strRef>
          </c:tx>
          <c:spPr>
            <a:solidFill>
              <a:schemeClr val="accent1"/>
            </a:solidFill>
            <a:ln>
              <a:noFill/>
            </a:ln>
            <a:effectLst/>
          </c:spPr>
          <c:cat>
            <c:strRef>
              <c:f>Pivot!$B$17:$B$20</c:f>
              <c:strCache>
                <c:ptCount val="4"/>
                <c:pt idx="0">
                  <c:v>Medication</c:v>
                </c:pt>
                <c:pt idx="1">
                  <c:v>Observation</c:v>
                </c:pt>
                <c:pt idx="2">
                  <c:v>Surgery</c:v>
                </c:pt>
                <c:pt idx="3">
                  <c:v>Therapy</c:v>
                </c:pt>
              </c:strCache>
            </c:strRef>
          </c:cat>
          <c:val>
            <c:numRef>
              <c:f>Pivot!$C$17:$C$20</c:f>
              <c:numCache>
                <c:formatCode>0.0</c:formatCode>
                <c:ptCount val="4"/>
                <c:pt idx="0">
                  <c:v>67.581818181818178</c:v>
                </c:pt>
                <c:pt idx="1">
                  <c:v>70.021276595744681</c:v>
                </c:pt>
                <c:pt idx="2">
                  <c:v>73.291666666666671</c:v>
                </c:pt>
                <c:pt idx="3">
                  <c:v>70.98</c:v>
                </c:pt>
              </c:numCache>
            </c:numRef>
          </c:val>
          <c:extLst>
            <c:ext xmlns:c16="http://schemas.microsoft.com/office/drawing/2014/chart" uri="{C3380CC4-5D6E-409C-BE32-E72D297353CC}">
              <c16:uniqueId val="{00000000-838A-4341-9FBA-275674096CC1}"/>
            </c:ext>
          </c:extLst>
        </c:ser>
        <c:dLbls>
          <c:showLegendKey val="0"/>
          <c:showVal val="0"/>
          <c:showCatName val="0"/>
          <c:showSerName val="0"/>
          <c:showPercent val="0"/>
          <c:showBubbleSize val="0"/>
        </c:dLbls>
        <c:axId val="335859087"/>
        <c:axId val="968969359"/>
      </c:areaChart>
      <c:catAx>
        <c:axId val="335859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969359"/>
        <c:crosses val="autoZero"/>
        <c:auto val="1"/>
        <c:lblAlgn val="ctr"/>
        <c:lblOffset val="100"/>
        <c:noMultiLvlLbl val="0"/>
      </c:catAx>
      <c:valAx>
        <c:axId val="968969359"/>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85908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[Patient_Analysis_Report.xlsx]Pivot!PivotTable9</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spc="0" baseline="0">
                <a:solidFill>
                  <a:sysClr val="windowText" lastClr="000000">
                    <a:lumMod val="65000"/>
                    <a:lumOff val="35000"/>
                  </a:sysClr>
                </a:solidFill>
                <a:latin typeface="+mn-lt"/>
                <a:ea typeface="+mn-ea"/>
                <a:cs typeface="+mn-cs"/>
              </a:defRPr>
            </a:pPr>
            <a:r>
              <a:rPr lang="en-US" sz="1100" b="0" i="0" u="none" strike="noStrike" kern="1200" spc="0" baseline="0">
                <a:solidFill>
                  <a:sysClr val="windowText" lastClr="000000">
                    <a:lumMod val="65000"/>
                    <a:lumOff val="35000"/>
                  </a:sysClr>
                </a:solidFill>
              </a:rPr>
              <a:t>Average Recovery Score By Doctor</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Pivot!$C$23</c:f>
              <c:strCache>
                <c:ptCount val="1"/>
                <c:pt idx="0">
                  <c:v>Total</c:v>
                </c:pt>
              </c:strCache>
            </c:strRef>
          </c:tx>
          <c:spPr>
            <a:solidFill>
              <a:schemeClr val="accent1"/>
            </a:solidFill>
            <a:ln>
              <a:noFill/>
            </a:ln>
            <a:effectLst/>
          </c:spPr>
          <c:invertIfNegative val="0"/>
          <c:cat>
            <c:strRef>
              <c:f>Pivot!$B$24:$B$28</c:f>
              <c:strCache>
                <c:ptCount val="5"/>
                <c:pt idx="0">
                  <c:v>Dr. A. Sharma</c:v>
                </c:pt>
                <c:pt idx="1">
                  <c:v>Dr. L. Khan</c:v>
                </c:pt>
                <c:pt idx="2">
                  <c:v>Dr. M. Patel</c:v>
                </c:pt>
                <c:pt idx="3">
                  <c:v>Dr. R. Singh</c:v>
                </c:pt>
                <c:pt idx="4">
                  <c:v>Dr. T. Mehta</c:v>
                </c:pt>
              </c:strCache>
            </c:strRef>
          </c:cat>
          <c:val>
            <c:numRef>
              <c:f>Pivot!$C$24:$C$28</c:f>
              <c:numCache>
                <c:formatCode>0.0</c:formatCode>
                <c:ptCount val="5"/>
                <c:pt idx="0">
                  <c:v>70.2</c:v>
                </c:pt>
                <c:pt idx="1">
                  <c:v>72.521739130434781</c:v>
                </c:pt>
                <c:pt idx="2">
                  <c:v>73.243902439024396</c:v>
                </c:pt>
                <c:pt idx="3">
                  <c:v>67.75555555555556</c:v>
                </c:pt>
                <c:pt idx="4">
                  <c:v>67.921052631578945</c:v>
                </c:pt>
              </c:numCache>
            </c:numRef>
          </c:val>
          <c:extLst>
            <c:ext xmlns:c16="http://schemas.microsoft.com/office/drawing/2014/chart" uri="{C3380CC4-5D6E-409C-BE32-E72D297353CC}">
              <c16:uniqueId val="{00000002-EE3A-4782-9F7A-6BD9DBC5C228}"/>
            </c:ext>
          </c:extLst>
        </c:ser>
        <c:dLbls>
          <c:showLegendKey val="0"/>
          <c:showVal val="0"/>
          <c:showCatName val="0"/>
          <c:showSerName val="0"/>
          <c:showPercent val="0"/>
          <c:showBubbleSize val="0"/>
        </c:dLbls>
        <c:gapWidth val="219"/>
        <c:axId val="335859087"/>
        <c:axId val="968969359"/>
      </c:barChart>
      <c:catAx>
        <c:axId val="3358590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969359"/>
        <c:crosses val="autoZero"/>
        <c:auto val="1"/>
        <c:lblAlgn val="ctr"/>
        <c:lblOffset val="100"/>
        <c:noMultiLvlLbl val="0"/>
      </c:catAx>
      <c:valAx>
        <c:axId val="968969359"/>
        <c:scaling>
          <c:orientation val="minMax"/>
        </c:scaling>
        <c:delete val="0"/>
        <c:axPos val="b"/>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859087"/>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[Patient_Analysis_Report.xlsx]Pivot!PivotTable4</c:name>
    <c:fmtId val="3"/>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IN" sz="1100"/>
              <a:t>Minimum,</a:t>
            </a:r>
            <a:r>
              <a:rPr lang="en-IN" sz="1100" baseline="0"/>
              <a:t> maximum &amp; Average Recovery scores By Department</a:t>
            </a: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s>
    <c:plotArea>
      <c:layout/>
      <c:barChart>
        <c:barDir val="col"/>
        <c:grouping val="percentStacked"/>
        <c:varyColors val="0"/>
        <c:ser>
          <c:idx val="2"/>
          <c:order val="2"/>
          <c:tx>
            <c:strRef>
              <c:f>Pivot!$H$33</c:f>
              <c:strCache>
                <c:ptCount val="1"/>
                <c:pt idx="0">
                  <c:v>Max of Recovery Score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Pivot!$E$34:$E$39</c:f>
              <c:strCache>
                <c:ptCount val="6"/>
                <c:pt idx="0">
                  <c:v>Cardiology</c:v>
                </c:pt>
                <c:pt idx="1">
                  <c:v>Gastroenterology</c:v>
                </c:pt>
                <c:pt idx="2">
                  <c:v>Neurology</c:v>
                </c:pt>
                <c:pt idx="3">
                  <c:v>Oncology</c:v>
                </c:pt>
                <c:pt idx="4">
                  <c:v>Orthopedics</c:v>
                </c:pt>
                <c:pt idx="5">
                  <c:v>Pediatrics</c:v>
                </c:pt>
              </c:strCache>
            </c:strRef>
          </c:cat>
          <c:val>
            <c:numRef>
              <c:f>Pivot!$H$34:$H$39</c:f>
              <c:numCache>
                <c:formatCode>General</c:formatCode>
                <c:ptCount val="6"/>
                <c:pt idx="0">
                  <c:v>96</c:v>
                </c:pt>
                <c:pt idx="1">
                  <c:v>99</c:v>
                </c:pt>
                <c:pt idx="2">
                  <c:v>96</c:v>
                </c:pt>
                <c:pt idx="3">
                  <c:v>99</c:v>
                </c:pt>
                <c:pt idx="4">
                  <c:v>99</c:v>
                </c:pt>
                <c:pt idx="5">
                  <c:v>100</c:v>
                </c:pt>
              </c:numCache>
            </c:numRef>
          </c:val>
          <c:extLst>
            <c:ext xmlns:c16="http://schemas.microsoft.com/office/drawing/2014/chart" uri="{C3380CC4-5D6E-409C-BE32-E72D297353CC}">
              <c16:uniqueId val="{00000002-987F-426D-8517-0F630DEE0AA1}"/>
            </c:ext>
          </c:extLst>
        </c:ser>
        <c:ser>
          <c:idx val="0"/>
          <c:order val="0"/>
          <c:tx>
            <c:strRef>
              <c:f>Pivot!$F$33</c:f>
              <c:strCache>
                <c:ptCount val="1"/>
                <c:pt idx="0">
                  <c:v>Average of Recovery Score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Pivot!$E$34:$E$39</c:f>
              <c:strCache>
                <c:ptCount val="6"/>
                <c:pt idx="0">
                  <c:v>Cardiology</c:v>
                </c:pt>
                <c:pt idx="1">
                  <c:v>Gastroenterology</c:v>
                </c:pt>
                <c:pt idx="2">
                  <c:v>Neurology</c:v>
                </c:pt>
                <c:pt idx="3">
                  <c:v>Oncology</c:v>
                </c:pt>
                <c:pt idx="4">
                  <c:v>Orthopedics</c:v>
                </c:pt>
                <c:pt idx="5">
                  <c:v>Pediatrics</c:v>
                </c:pt>
              </c:strCache>
            </c:strRef>
          </c:cat>
          <c:val>
            <c:numRef>
              <c:f>Pivot!$F$34:$F$39</c:f>
              <c:numCache>
                <c:formatCode>0.0</c:formatCode>
                <c:ptCount val="6"/>
                <c:pt idx="0">
                  <c:v>70.5</c:v>
                </c:pt>
                <c:pt idx="1">
                  <c:v>71.804878048780495</c:v>
                </c:pt>
                <c:pt idx="2">
                  <c:v>66.392857142857139</c:v>
                </c:pt>
                <c:pt idx="3">
                  <c:v>72.41935483870968</c:v>
                </c:pt>
                <c:pt idx="4">
                  <c:v>67.263157894736835</c:v>
                </c:pt>
                <c:pt idx="5">
                  <c:v>73.131578947368425</c:v>
                </c:pt>
              </c:numCache>
            </c:numRef>
          </c:val>
          <c:extLst>
            <c:ext xmlns:c16="http://schemas.microsoft.com/office/drawing/2014/chart" uri="{C3380CC4-5D6E-409C-BE32-E72D297353CC}">
              <c16:uniqueId val="{00000000-987F-426D-8517-0F630DEE0AA1}"/>
            </c:ext>
          </c:extLst>
        </c:ser>
        <c:ser>
          <c:idx val="1"/>
          <c:order val="1"/>
          <c:tx>
            <c:strRef>
              <c:f>Pivot!$G$33</c:f>
              <c:strCache>
                <c:ptCount val="1"/>
                <c:pt idx="0">
                  <c:v>Min of Recovery Score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Pivot!$E$34:$E$39</c:f>
              <c:strCache>
                <c:ptCount val="6"/>
                <c:pt idx="0">
                  <c:v>Cardiology</c:v>
                </c:pt>
                <c:pt idx="1">
                  <c:v>Gastroenterology</c:v>
                </c:pt>
                <c:pt idx="2">
                  <c:v>Neurology</c:v>
                </c:pt>
                <c:pt idx="3">
                  <c:v>Oncology</c:v>
                </c:pt>
                <c:pt idx="4">
                  <c:v>Orthopedics</c:v>
                </c:pt>
                <c:pt idx="5">
                  <c:v>Pediatrics</c:v>
                </c:pt>
              </c:strCache>
            </c:strRef>
          </c:cat>
          <c:val>
            <c:numRef>
              <c:f>Pivot!$G$34:$G$39</c:f>
              <c:numCache>
                <c:formatCode>General</c:formatCode>
                <c:ptCount val="6"/>
                <c:pt idx="0">
                  <c:v>41</c:v>
                </c:pt>
                <c:pt idx="1">
                  <c:v>40</c:v>
                </c:pt>
                <c:pt idx="2">
                  <c:v>40</c:v>
                </c:pt>
                <c:pt idx="3">
                  <c:v>41</c:v>
                </c:pt>
                <c:pt idx="4">
                  <c:v>40</c:v>
                </c:pt>
                <c:pt idx="5">
                  <c:v>42</c:v>
                </c:pt>
              </c:numCache>
            </c:numRef>
          </c:val>
          <c:extLst>
            <c:ext xmlns:c16="http://schemas.microsoft.com/office/drawing/2014/chart" uri="{C3380CC4-5D6E-409C-BE32-E72D297353CC}">
              <c16:uniqueId val="{00000001-987F-426D-8517-0F630DEE0AA1}"/>
            </c:ext>
          </c:extLst>
        </c:ser>
        <c:dLbls>
          <c:showLegendKey val="0"/>
          <c:showVal val="0"/>
          <c:showCatName val="0"/>
          <c:showSerName val="0"/>
          <c:showPercent val="0"/>
          <c:showBubbleSize val="0"/>
        </c:dLbls>
        <c:gapWidth val="219"/>
        <c:overlap val="100"/>
        <c:axId val="1061634831"/>
        <c:axId val="1061636751"/>
      </c:barChart>
      <c:valAx>
        <c:axId val="1061636751"/>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1634831"/>
        <c:crosses val="autoZero"/>
        <c:crossBetween val="between"/>
      </c:valAx>
      <c:catAx>
        <c:axId val="10616348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163675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[Patient_Analysis_Report.xlsx]Pivot!PivotTable6</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spc="0" baseline="0">
                <a:solidFill>
                  <a:sysClr val="windowText" lastClr="000000">
                    <a:lumMod val="65000"/>
                    <a:lumOff val="35000"/>
                  </a:sysClr>
                </a:solidFill>
                <a:latin typeface="+mn-lt"/>
                <a:ea typeface="+mn-ea"/>
                <a:cs typeface="+mn-cs"/>
              </a:defRPr>
            </a:pPr>
            <a:r>
              <a:rPr lang="en-US" sz="1100" b="0" i="0" u="none" strike="noStrike" kern="1200" spc="0" baseline="0">
                <a:solidFill>
                  <a:sysClr val="windowText" lastClr="000000">
                    <a:lumMod val="65000"/>
                    <a:lumOff val="35000"/>
                  </a:sysClr>
                </a:solidFill>
              </a:rPr>
              <a:t>Average Treatment Cost Per Doctor</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Pivot!$F$23</c:f>
              <c:strCache>
                <c:ptCount val="1"/>
                <c:pt idx="0">
                  <c:v>Total</c:v>
                </c:pt>
              </c:strCache>
            </c:strRef>
          </c:tx>
          <c:spPr>
            <a:solidFill>
              <a:schemeClr val="accent1"/>
            </a:solidFill>
            <a:ln>
              <a:noFill/>
            </a:ln>
            <a:effectLst/>
          </c:spPr>
          <c:invertIfNegative val="0"/>
          <c:cat>
            <c:strRef>
              <c:f>Pivot!$E$24:$E$28</c:f>
              <c:strCache>
                <c:ptCount val="5"/>
                <c:pt idx="0">
                  <c:v>Dr. A. Sharma</c:v>
                </c:pt>
                <c:pt idx="1">
                  <c:v>Dr. L. Khan</c:v>
                </c:pt>
                <c:pt idx="2">
                  <c:v>Dr. M. Patel</c:v>
                </c:pt>
                <c:pt idx="3">
                  <c:v>Dr. R. Singh</c:v>
                </c:pt>
                <c:pt idx="4">
                  <c:v>Dr. T. Mehta</c:v>
                </c:pt>
              </c:strCache>
            </c:strRef>
          </c:cat>
          <c:val>
            <c:numRef>
              <c:f>Pivot!$F$24:$F$28</c:f>
              <c:numCache>
                <c:formatCode>0.0</c:formatCode>
                <c:ptCount val="5"/>
                <c:pt idx="0">
                  <c:v>76987.606</c:v>
                </c:pt>
                <c:pt idx="1">
                  <c:v>82422.094347826089</c:v>
                </c:pt>
                <c:pt idx="2">
                  <c:v>70756.393414634149</c:v>
                </c:pt>
                <c:pt idx="3">
                  <c:v>74882.177777777775</c:v>
                </c:pt>
                <c:pt idx="4">
                  <c:v>93893.369736842098</c:v>
                </c:pt>
              </c:numCache>
            </c:numRef>
          </c:val>
          <c:extLst>
            <c:ext xmlns:c16="http://schemas.microsoft.com/office/drawing/2014/chart" uri="{C3380CC4-5D6E-409C-BE32-E72D297353CC}">
              <c16:uniqueId val="{0000000C-FFE4-4EF6-BCEC-780B919359E1}"/>
            </c:ext>
          </c:extLst>
        </c:ser>
        <c:dLbls>
          <c:showLegendKey val="0"/>
          <c:showVal val="0"/>
          <c:showCatName val="0"/>
          <c:showSerName val="0"/>
          <c:showPercent val="0"/>
          <c:showBubbleSize val="0"/>
        </c:dLbls>
        <c:gapWidth val="219"/>
        <c:axId val="335859087"/>
        <c:axId val="968969359"/>
      </c:barChart>
      <c:catAx>
        <c:axId val="3358590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969359"/>
        <c:crosses val="autoZero"/>
        <c:auto val="1"/>
        <c:lblAlgn val="ctr"/>
        <c:lblOffset val="100"/>
        <c:noMultiLvlLbl val="0"/>
      </c:catAx>
      <c:valAx>
        <c:axId val="968969359"/>
        <c:scaling>
          <c:orientation val="minMax"/>
        </c:scaling>
        <c:delete val="0"/>
        <c:axPos val="b"/>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859087"/>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[Patient_Analysis_Report.xlsx]Pivot!PivotTable5</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spc="0" baseline="0">
                <a:solidFill>
                  <a:sysClr val="windowText" lastClr="000000">
                    <a:lumMod val="65000"/>
                    <a:lumOff val="35000"/>
                  </a:sysClr>
                </a:solidFill>
                <a:latin typeface="+mn-lt"/>
                <a:ea typeface="+mn-ea"/>
                <a:cs typeface="+mn-cs"/>
              </a:defRPr>
            </a:pPr>
            <a:r>
              <a:rPr lang="en-US" sz="1100" b="0" i="0" u="none" strike="noStrike" kern="1200" spc="0" baseline="0">
                <a:solidFill>
                  <a:sysClr val="windowText" lastClr="000000">
                    <a:lumMod val="65000"/>
                    <a:lumOff val="35000"/>
                  </a:sysClr>
                </a:solidFill>
              </a:rPr>
              <a:t>Average Treatment Cost By Treatment Type</a:t>
            </a:r>
          </a:p>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spc="0" baseline="0">
                <a:solidFill>
                  <a:sysClr val="windowText" lastClr="000000">
                    <a:lumMod val="65000"/>
                    <a:lumOff val="35000"/>
                  </a:sysClr>
                </a:solidFill>
                <a:latin typeface="+mn-lt"/>
                <a:ea typeface="+mn-ea"/>
                <a:cs typeface="+mn-cs"/>
              </a:defRPr>
            </a:pPr>
            <a:endParaRPr lang="en-US" sz="1100"/>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areaChart>
        <c:grouping val="stacked"/>
        <c:varyColors val="0"/>
        <c:ser>
          <c:idx val="0"/>
          <c:order val="0"/>
          <c:tx>
            <c:strRef>
              <c:f>Pivot!$F$16</c:f>
              <c:strCache>
                <c:ptCount val="1"/>
                <c:pt idx="0">
                  <c:v>Total</c:v>
                </c:pt>
              </c:strCache>
            </c:strRef>
          </c:tx>
          <c:spPr>
            <a:solidFill>
              <a:schemeClr val="accent1"/>
            </a:solidFill>
            <a:ln>
              <a:noFill/>
            </a:ln>
            <a:effectLst/>
          </c:spPr>
          <c:cat>
            <c:strRef>
              <c:f>Pivot!$E$17:$E$20</c:f>
              <c:strCache>
                <c:ptCount val="4"/>
                <c:pt idx="0">
                  <c:v>Medication</c:v>
                </c:pt>
                <c:pt idx="1">
                  <c:v>Observation</c:v>
                </c:pt>
                <c:pt idx="2">
                  <c:v>Surgery</c:v>
                </c:pt>
                <c:pt idx="3">
                  <c:v>Therapy</c:v>
                </c:pt>
              </c:strCache>
            </c:strRef>
          </c:cat>
          <c:val>
            <c:numRef>
              <c:f>Pivot!$F$17:$F$20</c:f>
              <c:numCache>
                <c:formatCode>_-[$$-409]* #,##0.00_ ;_-[$$-409]* \-#,##0.00\ ;_-[$$-409]* "-"??_ ;_-@_ </c:formatCode>
                <c:ptCount val="4"/>
                <c:pt idx="0">
                  <c:v>80753.246545454531</c:v>
                </c:pt>
                <c:pt idx="1">
                  <c:v>78660.429999999993</c:v>
                </c:pt>
                <c:pt idx="2">
                  <c:v>83729.879166666666</c:v>
                </c:pt>
                <c:pt idx="3">
                  <c:v>75643.994600000005</c:v>
                </c:pt>
              </c:numCache>
            </c:numRef>
          </c:val>
          <c:extLst>
            <c:ext xmlns:c16="http://schemas.microsoft.com/office/drawing/2014/chart" uri="{C3380CC4-5D6E-409C-BE32-E72D297353CC}">
              <c16:uniqueId val="{00000002-6AB8-43AE-B304-1C6AC3D08150}"/>
            </c:ext>
          </c:extLst>
        </c:ser>
        <c:dLbls>
          <c:showLegendKey val="0"/>
          <c:showVal val="0"/>
          <c:showCatName val="0"/>
          <c:showSerName val="0"/>
          <c:showPercent val="0"/>
          <c:showBubbleSize val="0"/>
        </c:dLbls>
        <c:axId val="335859087"/>
        <c:axId val="968969359"/>
      </c:areaChart>
      <c:catAx>
        <c:axId val="335859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969359"/>
        <c:crosses val="autoZero"/>
        <c:auto val="1"/>
        <c:lblAlgn val="ctr"/>
        <c:lblOffset val="100"/>
        <c:noMultiLvlLbl val="0"/>
      </c:catAx>
      <c:valAx>
        <c:axId val="968969359"/>
        <c:scaling>
          <c:orientation val="minMax"/>
        </c:scaling>
        <c:delete val="0"/>
        <c:axPos val="l"/>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859087"/>
        <c:crosses val="autoZero"/>
        <c:crossBetween val="midCat"/>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[Patient_Analysis_Report.xlsx]Pivot!PivotTable12</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spc="0" baseline="0">
                <a:solidFill>
                  <a:sysClr val="windowText" lastClr="000000">
                    <a:lumMod val="65000"/>
                    <a:lumOff val="35000"/>
                  </a:sysClr>
                </a:solidFill>
                <a:latin typeface="+mn-lt"/>
                <a:ea typeface="+mn-ea"/>
                <a:cs typeface="+mn-cs"/>
              </a:defRPr>
            </a:pPr>
            <a:r>
              <a:rPr lang="en-US" sz="1100" b="0" i="0" u="none" strike="noStrike" kern="1200" spc="0" baseline="0">
                <a:solidFill>
                  <a:sysClr val="windowText" lastClr="000000">
                    <a:lumMod val="65000"/>
                    <a:lumOff val="35000"/>
                  </a:sysClr>
                </a:solidFill>
              </a:rPr>
              <a:t>Average Age By Treatment Type</a:t>
            </a:r>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marker>
          <c:symbol val="none"/>
        </c:marker>
        <c:dLbl>
          <c:idx val="0"/>
          <c:delete val="1"/>
          <c:extLst>
            <c:ext xmlns:c15="http://schemas.microsoft.com/office/drawing/2012/chart" uri="{CE6537A1-D6FC-4f65-9D91-7224C49458BB}"/>
          </c:extLst>
        </c:dLbl>
      </c:pivotFmt>
      <c:pivotFmt>
        <c:idx val="22"/>
        <c:spPr>
          <a:solidFill>
            <a:schemeClr val="accent1"/>
          </a:solidFill>
          <a:ln w="19050">
            <a:solidFill>
              <a:schemeClr val="lt1"/>
            </a:solidFill>
          </a:ln>
          <a:effectLst/>
        </c:spPr>
      </c:pivotFmt>
      <c:pivotFmt>
        <c:idx val="23"/>
        <c:spPr>
          <a:solidFill>
            <a:schemeClr val="accent2"/>
          </a:solidFill>
          <a:ln w="19050">
            <a:solidFill>
              <a:schemeClr val="lt1"/>
            </a:solidFill>
          </a:ln>
          <a:effectLst/>
        </c:spPr>
      </c:pivotFmt>
      <c:pivotFmt>
        <c:idx val="24"/>
        <c:spPr>
          <a:solidFill>
            <a:schemeClr val="accent3"/>
          </a:solidFill>
          <a:ln w="19050">
            <a:solidFill>
              <a:schemeClr val="lt1"/>
            </a:solidFill>
          </a:ln>
          <a:effectLst/>
        </c:spPr>
      </c:pivotFmt>
      <c:pivotFmt>
        <c:idx val="25"/>
        <c:spPr>
          <a:solidFill>
            <a:schemeClr val="accent4"/>
          </a:solidFill>
          <a:ln w="19050">
            <a:solidFill>
              <a:schemeClr val="lt1"/>
            </a:solidFill>
          </a:ln>
          <a:effectLst/>
        </c:spPr>
      </c:pivotFmt>
      <c:pivotFmt>
        <c:idx val="26"/>
        <c:marker>
          <c:symbol val="none"/>
        </c:marker>
        <c:dLbl>
          <c:idx val="0"/>
          <c:delete val="1"/>
          <c:extLst>
            <c:ext xmlns:c15="http://schemas.microsoft.com/office/drawing/2012/chart" uri="{CE6537A1-D6FC-4f65-9D91-7224C49458BB}"/>
          </c:extLst>
        </c:dLbl>
      </c:pivotFmt>
      <c:pivotFmt>
        <c:idx val="27"/>
        <c:spPr>
          <a:solidFill>
            <a:schemeClr val="accent1"/>
          </a:solidFill>
          <a:ln w="19050">
            <a:solidFill>
              <a:schemeClr val="lt1"/>
            </a:solidFill>
          </a:ln>
          <a:effectLst/>
        </c:spPr>
      </c:pivotFmt>
      <c:pivotFmt>
        <c:idx val="28"/>
        <c:spPr>
          <a:solidFill>
            <a:schemeClr val="accent2"/>
          </a:solidFill>
          <a:ln w="19050">
            <a:solidFill>
              <a:schemeClr val="lt1"/>
            </a:solidFill>
          </a:ln>
          <a:effectLst/>
        </c:spPr>
      </c:pivotFmt>
      <c:pivotFmt>
        <c:idx val="29"/>
        <c:spPr>
          <a:solidFill>
            <a:schemeClr val="accent3"/>
          </a:solidFill>
          <a:ln w="19050">
            <a:solidFill>
              <a:schemeClr val="lt1"/>
            </a:solidFill>
          </a:ln>
          <a:effectLst/>
        </c:spPr>
      </c:pivotFmt>
      <c:pivotFmt>
        <c:idx val="30"/>
        <c:spPr>
          <a:solidFill>
            <a:schemeClr val="accent4"/>
          </a:solidFill>
          <a:ln w="19050">
            <a:solidFill>
              <a:schemeClr val="lt1"/>
            </a:solidFill>
          </a:ln>
          <a:effectLst/>
        </c:spPr>
      </c:pivotFmt>
      <c:pivotFmt>
        <c:idx val="31"/>
        <c:marker>
          <c:symbol val="none"/>
        </c:marker>
        <c:dLbl>
          <c:idx val="0"/>
          <c:delete val="1"/>
          <c:extLst>
            <c:ext xmlns:c15="http://schemas.microsoft.com/office/drawing/2012/chart" uri="{CE6537A1-D6FC-4f65-9D91-7224C49458BB}"/>
          </c:extLst>
        </c:dLbl>
      </c:pivotFmt>
      <c:pivotFmt>
        <c:idx val="32"/>
        <c:spPr>
          <a:solidFill>
            <a:schemeClr val="accent1"/>
          </a:solidFill>
          <a:ln w="19050">
            <a:solidFill>
              <a:schemeClr val="lt1"/>
            </a:solidFill>
          </a:ln>
          <a:effectLst/>
        </c:spPr>
      </c:pivotFmt>
      <c:pivotFmt>
        <c:idx val="33"/>
        <c:spPr>
          <a:solidFill>
            <a:schemeClr val="accent2"/>
          </a:solidFill>
          <a:ln w="19050">
            <a:solidFill>
              <a:schemeClr val="lt1"/>
            </a:solidFill>
          </a:ln>
          <a:effectLst/>
        </c:spPr>
      </c:pivotFmt>
      <c:pivotFmt>
        <c:idx val="34"/>
        <c:spPr>
          <a:solidFill>
            <a:schemeClr val="accent3"/>
          </a:solidFill>
          <a:ln w="19050">
            <a:solidFill>
              <a:schemeClr val="lt1"/>
            </a:solidFill>
          </a:ln>
          <a:effectLst/>
        </c:spPr>
      </c:pivotFmt>
      <c:pivotFmt>
        <c:idx val="35"/>
        <c:spPr>
          <a:solidFill>
            <a:schemeClr val="accent4"/>
          </a:solidFill>
          <a:ln w="19050">
            <a:solidFill>
              <a:schemeClr val="lt1"/>
            </a:solidFill>
          </a:ln>
          <a:effectLst/>
        </c:spPr>
      </c:pivotFmt>
      <c:pivotFmt>
        <c:idx val="36"/>
        <c:marker>
          <c:symbol val="none"/>
        </c:marker>
        <c:dLbl>
          <c:idx val="0"/>
          <c:delete val="1"/>
          <c:extLst>
            <c:ext xmlns:c15="http://schemas.microsoft.com/office/drawing/2012/chart" uri="{CE6537A1-D6FC-4f65-9D91-7224C49458BB}"/>
          </c:extLst>
        </c:dLbl>
      </c:pivotFmt>
      <c:pivotFmt>
        <c:idx val="37"/>
        <c:spPr>
          <a:solidFill>
            <a:schemeClr val="accent1"/>
          </a:solidFill>
          <a:ln w="19050">
            <a:solidFill>
              <a:schemeClr val="lt1"/>
            </a:solidFill>
          </a:ln>
          <a:effectLst/>
        </c:spPr>
      </c:pivotFmt>
      <c:pivotFmt>
        <c:idx val="38"/>
        <c:spPr>
          <a:solidFill>
            <a:schemeClr val="accent2"/>
          </a:solidFill>
          <a:ln w="19050">
            <a:solidFill>
              <a:schemeClr val="lt1"/>
            </a:solidFill>
          </a:ln>
          <a:effectLst/>
        </c:spPr>
      </c:pivotFmt>
      <c:pivotFmt>
        <c:idx val="39"/>
        <c:spPr>
          <a:solidFill>
            <a:schemeClr val="accent3"/>
          </a:solidFill>
          <a:ln w="19050">
            <a:solidFill>
              <a:schemeClr val="lt1"/>
            </a:solidFill>
          </a:ln>
          <a:effectLst/>
        </c:spPr>
      </c:pivotFmt>
      <c:pivotFmt>
        <c:idx val="40"/>
        <c:spPr>
          <a:solidFill>
            <a:schemeClr val="accent4"/>
          </a:solidFill>
          <a:ln w="19050">
            <a:solidFill>
              <a:schemeClr val="lt1"/>
            </a:solidFill>
          </a:ln>
          <a:effectLst/>
        </c:spPr>
      </c:pivotFmt>
    </c:pivotFmts>
    <c:plotArea>
      <c:layout/>
      <c:barChart>
        <c:barDir val="col"/>
        <c:grouping val="clustered"/>
        <c:varyColors val="0"/>
        <c:ser>
          <c:idx val="0"/>
          <c:order val="0"/>
          <c:tx>
            <c:strRef>
              <c:f>Pivot!$I$24</c:f>
              <c:strCache>
                <c:ptCount val="1"/>
                <c:pt idx="0">
                  <c:v>Total</c:v>
                </c:pt>
              </c:strCache>
            </c:strRef>
          </c:tx>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B-2373-4E54-A577-CFFDCEE33121}"/>
              </c:ext>
            </c:extLst>
          </c:dPt>
          <c:dPt>
            <c:idx val="1"/>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0D-2373-4E54-A577-CFFDCEE33121}"/>
              </c:ext>
            </c:extLst>
          </c:dPt>
          <c:dPt>
            <c:idx val="2"/>
            <c:invertIfNegative val="0"/>
            <c:bubble3D val="0"/>
            <c:spPr>
              <a:solidFill>
                <a:schemeClr val="accent3"/>
              </a:solidFill>
              <a:ln w="19050">
                <a:solidFill>
                  <a:schemeClr val="lt1"/>
                </a:solidFill>
              </a:ln>
              <a:effectLst/>
            </c:spPr>
            <c:extLst>
              <c:ext xmlns:c16="http://schemas.microsoft.com/office/drawing/2014/chart" uri="{C3380CC4-5D6E-409C-BE32-E72D297353CC}">
                <c16:uniqueId val="{0000000F-2373-4E54-A577-CFFDCEE33121}"/>
              </c:ext>
            </c:extLst>
          </c:dPt>
          <c:dPt>
            <c:idx val="3"/>
            <c:invertIfNegative val="0"/>
            <c:bubble3D val="0"/>
            <c:spPr>
              <a:solidFill>
                <a:schemeClr val="accent4"/>
              </a:solidFill>
              <a:ln w="19050">
                <a:solidFill>
                  <a:schemeClr val="lt1"/>
                </a:solidFill>
              </a:ln>
              <a:effectLst/>
            </c:spPr>
            <c:extLst>
              <c:ext xmlns:c16="http://schemas.microsoft.com/office/drawing/2014/chart" uri="{C3380CC4-5D6E-409C-BE32-E72D297353CC}">
                <c16:uniqueId val="{00000011-2373-4E54-A577-CFFDCEE33121}"/>
              </c:ext>
            </c:extLst>
          </c:dPt>
          <c:cat>
            <c:strRef>
              <c:f>Pivot!$H$25:$H$28</c:f>
              <c:strCache>
                <c:ptCount val="4"/>
                <c:pt idx="0">
                  <c:v>Medication</c:v>
                </c:pt>
                <c:pt idx="1">
                  <c:v>Observation</c:v>
                </c:pt>
                <c:pt idx="2">
                  <c:v>Surgery</c:v>
                </c:pt>
                <c:pt idx="3">
                  <c:v>Therapy</c:v>
                </c:pt>
              </c:strCache>
            </c:strRef>
          </c:cat>
          <c:val>
            <c:numRef>
              <c:f>Pivot!$I$25:$I$28</c:f>
              <c:numCache>
                <c:formatCode>0.0</c:formatCode>
                <c:ptCount val="4"/>
                <c:pt idx="0">
                  <c:v>42.745454545454542</c:v>
                </c:pt>
                <c:pt idx="1">
                  <c:v>38.255319148936174</c:v>
                </c:pt>
                <c:pt idx="2">
                  <c:v>44.041666666666664</c:v>
                </c:pt>
                <c:pt idx="3">
                  <c:v>41.58</c:v>
                </c:pt>
              </c:numCache>
            </c:numRef>
          </c:val>
          <c:extLst>
            <c:ext xmlns:c16="http://schemas.microsoft.com/office/drawing/2014/chart" uri="{C3380CC4-5D6E-409C-BE32-E72D297353CC}">
              <c16:uniqueId val="{00000012-2373-4E54-A577-CFFDCEE33121}"/>
            </c:ext>
          </c:extLst>
        </c:ser>
        <c:dLbls>
          <c:showLegendKey val="0"/>
          <c:showVal val="0"/>
          <c:showCatName val="0"/>
          <c:showSerName val="0"/>
          <c:showPercent val="0"/>
          <c:showBubbleSize val="0"/>
        </c:dLbls>
        <c:gapWidth val="100"/>
        <c:axId val="414371967"/>
        <c:axId val="414372447"/>
      </c:barChart>
      <c:catAx>
        <c:axId val="414371967"/>
        <c:scaling>
          <c:orientation val="minMax"/>
        </c:scaling>
        <c:delete val="0"/>
        <c:axPos val="b"/>
        <c:numFmt formatCode="General" sourceLinked="1"/>
        <c:majorTickMark val="out"/>
        <c:minorTickMark val="none"/>
        <c:tickLblPos val="nextTo"/>
        <c:crossAx val="414372447"/>
        <c:crosses val="autoZero"/>
        <c:auto val="1"/>
        <c:lblAlgn val="ctr"/>
        <c:lblOffset val="100"/>
        <c:noMultiLvlLbl val="0"/>
      </c:catAx>
      <c:valAx>
        <c:axId val="414372447"/>
        <c:scaling>
          <c:orientation val="minMax"/>
        </c:scaling>
        <c:delete val="0"/>
        <c:axPos val="l"/>
        <c:numFmt formatCode="0.0" sourceLinked="1"/>
        <c:majorTickMark val="out"/>
        <c:minorTickMark val="none"/>
        <c:tickLblPos val="nextTo"/>
        <c:crossAx val="414371967"/>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[Patient_Analysis_Report.xlsx]Pivot!PivotTable11</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spc="0" baseline="0">
                <a:solidFill>
                  <a:sysClr val="windowText" lastClr="000000">
                    <a:lumMod val="65000"/>
                    <a:lumOff val="35000"/>
                  </a:sysClr>
                </a:solidFill>
                <a:latin typeface="+mn-lt"/>
                <a:ea typeface="+mn-ea"/>
                <a:cs typeface="+mn-cs"/>
              </a:defRPr>
            </a:pPr>
            <a:r>
              <a:rPr lang="en-US" sz="1100" b="0" i="0" u="none" strike="noStrike" kern="1200" spc="0" baseline="0">
                <a:solidFill>
                  <a:sysClr val="windowText" lastClr="000000">
                    <a:lumMod val="65000"/>
                    <a:lumOff val="35000"/>
                  </a:sysClr>
                </a:solidFill>
              </a:rPr>
              <a:t>Average Age By Department</a:t>
            </a:r>
            <a:endParaRPr lang="en-US" sz="1100"/>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marker>
          <c:symbol val="none"/>
        </c:marker>
        <c:dLbl>
          <c:idx val="0"/>
          <c:delete val="1"/>
          <c:extLst>
            <c:ext xmlns:c15="http://schemas.microsoft.com/office/drawing/2012/chart" uri="{CE6537A1-D6FC-4f65-9D91-7224C49458BB}"/>
          </c:extLst>
        </c:dLbl>
      </c:pivotFmt>
      <c:pivotFmt>
        <c:idx val="22"/>
        <c:spPr>
          <a:solidFill>
            <a:schemeClr val="accent1"/>
          </a:solidFill>
          <a:ln w="19050">
            <a:solidFill>
              <a:schemeClr val="lt1"/>
            </a:solidFill>
          </a:ln>
          <a:effectLst/>
        </c:spPr>
      </c:pivotFmt>
      <c:pivotFmt>
        <c:idx val="23"/>
        <c:spPr>
          <a:solidFill>
            <a:schemeClr val="accent2"/>
          </a:solidFill>
          <a:ln w="19050">
            <a:solidFill>
              <a:schemeClr val="lt1"/>
            </a:solidFill>
          </a:ln>
          <a:effectLst/>
        </c:spPr>
      </c:pivotFmt>
      <c:pivotFmt>
        <c:idx val="24"/>
        <c:spPr>
          <a:solidFill>
            <a:schemeClr val="accent3"/>
          </a:solidFill>
          <a:ln w="19050">
            <a:solidFill>
              <a:schemeClr val="lt1"/>
            </a:solidFill>
          </a:ln>
          <a:effectLst/>
        </c:spPr>
      </c:pivotFmt>
      <c:pivotFmt>
        <c:idx val="25"/>
        <c:spPr>
          <a:solidFill>
            <a:schemeClr val="accent4"/>
          </a:solidFill>
          <a:ln w="19050">
            <a:solidFill>
              <a:schemeClr val="lt1"/>
            </a:solidFill>
          </a:ln>
          <a:effectLst/>
        </c:spPr>
      </c:pivotFmt>
    </c:pivotFmts>
    <c:plotArea>
      <c:layout/>
      <c:barChart>
        <c:barDir val="col"/>
        <c:grouping val="clustered"/>
        <c:varyColors val="0"/>
        <c:ser>
          <c:idx val="0"/>
          <c:order val="0"/>
          <c:tx>
            <c:strRef>
              <c:f>Pivot!$C$32</c:f>
              <c:strCache>
                <c:ptCount val="1"/>
                <c:pt idx="0">
                  <c:v>Total</c:v>
                </c:pt>
              </c:strCache>
            </c:strRef>
          </c:tx>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9922-4AD3-B1CD-470287EEEF76}"/>
              </c:ext>
            </c:extLst>
          </c:dPt>
          <c:dPt>
            <c:idx val="1"/>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05-9922-4AD3-B1CD-470287EEEF76}"/>
              </c:ext>
            </c:extLst>
          </c:dPt>
          <c:dPt>
            <c:idx val="2"/>
            <c:invertIfNegative val="0"/>
            <c:bubble3D val="0"/>
            <c:spPr>
              <a:solidFill>
                <a:schemeClr val="accent3"/>
              </a:solidFill>
              <a:ln w="19050">
                <a:solidFill>
                  <a:schemeClr val="lt1"/>
                </a:solidFill>
              </a:ln>
              <a:effectLst/>
            </c:spPr>
            <c:extLst>
              <c:ext xmlns:c16="http://schemas.microsoft.com/office/drawing/2014/chart" uri="{C3380CC4-5D6E-409C-BE32-E72D297353CC}">
                <c16:uniqueId val="{00000007-9922-4AD3-B1CD-470287EEEF76}"/>
              </c:ext>
            </c:extLst>
          </c:dPt>
          <c:dPt>
            <c:idx val="3"/>
            <c:invertIfNegative val="0"/>
            <c:bubble3D val="0"/>
            <c:spPr>
              <a:solidFill>
                <a:schemeClr val="accent4"/>
              </a:solidFill>
              <a:ln w="19050">
                <a:solidFill>
                  <a:schemeClr val="lt1"/>
                </a:solidFill>
              </a:ln>
              <a:effectLst/>
            </c:spPr>
            <c:extLst>
              <c:ext xmlns:c16="http://schemas.microsoft.com/office/drawing/2014/chart" uri="{C3380CC4-5D6E-409C-BE32-E72D297353CC}">
                <c16:uniqueId val="{00000009-9922-4AD3-B1CD-470287EEEF76}"/>
              </c:ext>
            </c:extLst>
          </c:dPt>
          <c:cat>
            <c:strRef>
              <c:f>Pivot!$B$33:$B$38</c:f>
              <c:strCache>
                <c:ptCount val="6"/>
                <c:pt idx="0">
                  <c:v>Cardiology</c:v>
                </c:pt>
                <c:pt idx="1">
                  <c:v>Gastroenterology</c:v>
                </c:pt>
                <c:pt idx="2">
                  <c:v>Neurology</c:v>
                </c:pt>
                <c:pt idx="3">
                  <c:v>Oncology</c:v>
                </c:pt>
                <c:pt idx="4">
                  <c:v>Orthopedics</c:v>
                </c:pt>
                <c:pt idx="5">
                  <c:v>Pediatrics</c:v>
                </c:pt>
              </c:strCache>
            </c:strRef>
          </c:cat>
          <c:val>
            <c:numRef>
              <c:f>Pivot!$C$33:$C$38</c:f>
              <c:numCache>
                <c:formatCode>0.0</c:formatCode>
                <c:ptCount val="6"/>
                <c:pt idx="0">
                  <c:v>45.416666666666664</c:v>
                </c:pt>
                <c:pt idx="1">
                  <c:v>31.390243902439025</c:v>
                </c:pt>
                <c:pt idx="2">
                  <c:v>52.214285714285715</c:v>
                </c:pt>
                <c:pt idx="3">
                  <c:v>41.58064516129032</c:v>
                </c:pt>
                <c:pt idx="4">
                  <c:v>40.789473684210527</c:v>
                </c:pt>
                <c:pt idx="5">
                  <c:v>43.789473684210527</c:v>
                </c:pt>
              </c:numCache>
            </c:numRef>
          </c:val>
          <c:extLst>
            <c:ext xmlns:c16="http://schemas.microsoft.com/office/drawing/2014/chart" uri="{C3380CC4-5D6E-409C-BE32-E72D297353CC}">
              <c16:uniqueId val="{0000000A-9922-4AD3-B1CD-470287EEEF76}"/>
            </c:ext>
          </c:extLst>
        </c:ser>
        <c:dLbls>
          <c:showLegendKey val="0"/>
          <c:showVal val="0"/>
          <c:showCatName val="0"/>
          <c:showSerName val="0"/>
          <c:showPercent val="0"/>
          <c:showBubbleSize val="0"/>
        </c:dLbls>
        <c:gapWidth val="100"/>
        <c:axId val="414371967"/>
        <c:axId val="414372447"/>
      </c:barChart>
      <c:catAx>
        <c:axId val="414371967"/>
        <c:scaling>
          <c:orientation val="minMax"/>
        </c:scaling>
        <c:delete val="0"/>
        <c:axPos val="b"/>
        <c:numFmt formatCode="General" sourceLinked="1"/>
        <c:majorTickMark val="out"/>
        <c:minorTickMark val="none"/>
        <c:tickLblPos val="nextTo"/>
        <c:crossAx val="414372447"/>
        <c:crosses val="autoZero"/>
        <c:auto val="1"/>
        <c:lblAlgn val="ctr"/>
        <c:lblOffset val="100"/>
        <c:noMultiLvlLbl val="0"/>
      </c:catAx>
      <c:valAx>
        <c:axId val="414372447"/>
        <c:scaling>
          <c:orientation val="minMax"/>
        </c:scaling>
        <c:delete val="0"/>
        <c:axPos val="l"/>
        <c:numFmt formatCode="0.0" sourceLinked="1"/>
        <c:majorTickMark val="out"/>
        <c:minorTickMark val="none"/>
        <c:tickLblPos val="nextTo"/>
        <c:crossAx val="414371967"/>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[Patient_Analysis_Report.xlsx]Pivot!PivotTable13</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Pivot!$H$6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C6F-4BC3-98E9-E591102F0A2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C6F-4BC3-98E9-E591102F0A2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C6F-4BC3-98E9-E591102F0A2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C6F-4BC3-98E9-E591102F0A2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C6F-4BC3-98E9-E591102F0A2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C6F-4BC3-98E9-E591102F0A2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Pivot!$G$7:$G$12</c:f>
              <c:strCache>
                <c:ptCount val="6"/>
                <c:pt idx="0">
                  <c:v>Cardiology</c:v>
                </c:pt>
                <c:pt idx="1">
                  <c:v>Gastroenterology</c:v>
                </c:pt>
                <c:pt idx="2">
                  <c:v>Neurology</c:v>
                </c:pt>
                <c:pt idx="3">
                  <c:v>Oncology</c:v>
                </c:pt>
                <c:pt idx="4">
                  <c:v>Orthopedics</c:v>
                </c:pt>
                <c:pt idx="5">
                  <c:v>Pediatrics</c:v>
                </c:pt>
              </c:strCache>
            </c:strRef>
          </c:cat>
          <c:val>
            <c:numRef>
              <c:f>Pivot!$H$7:$H$12</c:f>
              <c:numCache>
                <c:formatCode>General</c:formatCode>
                <c:ptCount val="6"/>
                <c:pt idx="0">
                  <c:v>24</c:v>
                </c:pt>
                <c:pt idx="1">
                  <c:v>41</c:v>
                </c:pt>
                <c:pt idx="2">
                  <c:v>28</c:v>
                </c:pt>
                <c:pt idx="3">
                  <c:v>31</c:v>
                </c:pt>
                <c:pt idx="4">
                  <c:v>38</c:v>
                </c:pt>
                <c:pt idx="5">
                  <c:v>38</c:v>
                </c:pt>
              </c:numCache>
            </c:numRef>
          </c:val>
          <c:extLst>
            <c:ext xmlns:c16="http://schemas.microsoft.com/office/drawing/2014/chart" uri="{C3380CC4-5D6E-409C-BE32-E72D297353CC}">
              <c16:uniqueId val="{0000000C-3C6F-4BC3-98E9-E591102F0A2C}"/>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[Patient_Analysis_Report.xlsx]Pivot!PivotTable35</c:name>
    <c:fmtId val="4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Pivot!$C$126</c:f>
              <c:strCache>
                <c:ptCount val="1"/>
                <c:pt idx="0">
                  <c:v>Total</c:v>
                </c:pt>
              </c:strCache>
            </c:strRef>
          </c:tx>
          <c:spPr>
            <a:solidFill>
              <a:schemeClr val="accent1"/>
            </a:solidFill>
            <a:ln>
              <a:noFill/>
            </a:ln>
            <a:effectLst/>
          </c:spPr>
          <c:invertIfNegative val="0"/>
          <c:cat>
            <c:strRef>
              <c:f>Pivot!$B$127:$B$132</c:f>
              <c:strCache>
                <c:ptCount val="6"/>
                <c:pt idx="0">
                  <c:v>Adult</c:v>
                </c:pt>
                <c:pt idx="1">
                  <c:v>Child</c:v>
                </c:pt>
                <c:pt idx="2">
                  <c:v>Middle-aged Adult</c:v>
                </c:pt>
                <c:pt idx="3">
                  <c:v>Senior Citizen/Elderly</c:v>
                </c:pt>
                <c:pt idx="4">
                  <c:v>Teenager/Adolescent</c:v>
                </c:pt>
                <c:pt idx="5">
                  <c:v>Young Adult</c:v>
                </c:pt>
              </c:strCache>
            </c:strRef>
          </c:cat>
          <c:val>
            <c:numRef>
              <c:f>Pivot!$C$127:$C$132</c:f>
              <c:numCache>
                <c:formatCode>General</c:formatCode>
                <c:ptCount val="6"/>
                <c:pt idx="0">
                  <c:v>37</c:v>
                </c:pt>
                <c:pt idx="1">
                  <c:v>38</c:v>
                </c:pt>
                <c:pt idx="2">
                  <c:v>33</c:v>
                </c:pt>
                <c:pt idx="3">
                  <c:v>61</c:v>
                </c:pt>
                <c:pt idx="4">
                  <c:v>13</c:v>
                </c:pt>
                <c:pt idx="5">
                  <c:v>18</c:v>
                </c:pt>
              </c:numCache>
            </c:numRef>
          </c:val>
          <c:extLst>
            <c:ext xmlns:c16="http://schemas.microsoft.com/office/drawing/2014/chart" uri="{C3380CC4-5D6E-409C-BE32-E72D297353CC}">
              <c16:uniqueId val="{00000000-E78F-412D-BBAA-4829D2048D53}"/>
            </c:ext>
          </c:extLst>
        </c:ser>
        <c:dLbls>
          <c:showLegendKey val="0"/>
          <c:showVal val="0"/>
          <c:showCatName val="0"/>
          <c:showSerName val="0"/>
          <c:showPercent val="0"/>
          <c:showBubbleSize val="0"/>
        </c:dLbls>
        <c:gapWidth val="219"/>
        <c:overlap val="-27"/>
        <c:axId val="1144643951"/>
        <c:axId val="1144644431"/>
      </c:barChart>
      <c:catAx>
        <c:axId val="1144643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644431"/>
        <c:crosses val="autoZero"/>
        <c:auto val="1"/>
        <c:lblAlgn val="ctr"/>
        <c:lblOffset val="100"/>
        <c:noMultiLvlLbl val="0"/>
      </c:catAx>
      <c:valAx>
        <c:axId val="1144644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643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[Patient_Analysis_Report.xlsx]Pivot!PivotTable4</c:name>
    <c:fmtId val="17"/>
  </c:pivotSource>
  <c:chart>
    <c:title>
      <c:tx>
        <c:rich>
          <a:bodyPr rot="0" spcFirstLastPara="1" vertOverflow="ellipsis" vert="horz" wrap="square" anchor="ctr" anchorCtr="1"/>
          <a:lstStyle/>
          <a:p>
            <a:pPr>
              <a:defRPr sz="1200" b="1" i="0" u="none" strike="noStrike" kern="1200" cap="all" spc="120" normalizeH="0" baseline="0">
                <a:solidFill>
                  <a:schemeClr val="bg1"/>
                </a:solidFill>
                <a:latin typeface="+mn-lt"/>
                <a:ea typeface="+mn-ea"/>
                <a:cs typeface="+mn-cs"/>
              </a:defRPr>
            </a:pPr>
            <a:r>
              <a:rPr lang="en-IN" sz="1200"/>
              <a:t>Recovery scores By Department</a:t>
            </a:r>
          </a:p>
        </c:rich>
      </c:tx>
      <c:overlay val="0"/>
      <c:spPr>
        <a:noFill/>
        <a:ln>
          <a:noFill/>
        </a:ln>
        <a:effectLst/>
      </c:spPr>
      <c:txPr>
        <a:bodyPr rot="0" spcFirstLastPara="1" vertOverflow="ellipsis" vert="horz" wrap="square" anchor="ctr" anchorCtr="1"/>
        <a:lstStyle/>
        <a:p>
          <a:pPr>
            <a:defRPr sz="1200" b="1" i="0" u="none" strike="noStrike" kern="1200" cap="all" spc="120" normalizeH="0" baseline="0">
              <a:solidFill>
                <a:schemeClr val="bg1"/>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spPr>
          <a:solidFill>
            <a:schemeClr val="accent2"/>
          </a:solidFill>
          <a:ln>
            <a:noFill/>
          </a:ln>
          <a:effectLst/>
        </c:spPr>
        <c:marker>
          <c:symbol val="none"/>
        </c:marker>
        <c:dLbl>
          <c:idx val="0"/>
          <c:spPr>
            <a:solidFill>
              <a:srgbClr val="70557B"/>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marker>
          <c:symbol val="none"/>
        </c:marker>
        <c:dLbl>
          <c:idx val="0"/>
          <c:spPr>
            <a:solidFill>
              <a:srgbClr val="70557B"/>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marker>
          <c:symbol val="none"/>
        </c:marker>
        <c:dLbl>
          <c:idx val="0"/>
          <c:spPr>
            <a:solidFill>
              <a:srgbClr val="70557B"/>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2"/>
          <c:order val="2"/>
          <c:tx>
            <c:strRef>
              <c:f>Pivot!$H$33</c:f>
              <c:strCache>
                <c:ptCount val="1"/>
                <c:pt idx="0">
                  <c:v>Max of Recovery Score</c:v>
                </c:pt>
              </c:strCache>
            </c:strRef>
          </c:tx>
          <c:spPr>
            <a:solidFill>
              <a:schemeClr val="accent2">
                <a:tint val="65000"/>
              </a:schemeClr>
            </a:solidFill>
            <a:ln>
              <a:noFill/>
            </a:ln>
            <a:effectLst/>
          </c:spPr>
          <c:invertIfNegative val="0"/>
          <c:dLbls>
            <c:spPr>
              <a:solidFill>
                <a:srgbClr val="70557B"/>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Pivot!$E$34:$E$39</c:f>
              <c:strCache>
                <c:ptCount val="6"/>
                <c:pt idx="0">
                  <c:v>Cardiology</c:v>
                </c:pt>
                <c:pt idx="1">
                  <c:v>Gastroenterology</c:v>
                </c:pt>
                <c:pt idx="2">
                  <c:v>Neurology</c:v>
                </c:pt>
                <c:pt idx="3">
                  <c:v>Oncology</c:v>
                </c:pt>
                <c:pt idx="4">
                  <c:v>Orthopedics</c:v>
                </c:pt>
                <c:pt idx="5">
                  <c:v>Pediatrics</c:v>
                </c:pt>
              </c:strCache>
            </c:strRef>
          </c:cat>
          <c:val>
            <c:numRef>
              <c:f>Pivot!$H$34:$H$39</c:f>
              <c:numCache>
                <c:formatCode>General</c:formatCode>
                <c:ptCount val="6"/>
                <c:pt idx="0">
                  <c:v>96</c:v>
                </c:pt>
                <c:pt idx="1">
                  <c:v>99</c:v>
                </c:pt>
                <c:pt idx="2">
                  <c:v>96</c:v>
                </c:pt>
                <c:pt idx="3">
                  <c:v>99</c:v>
                </c:pt>
                <c:pt idx="4">
                  <c:v>99</c:v>
                </c:pt>
                <c:pt idx="5">
                  <c:v>100</c:v>
                </c:pt>
              </c:numCache>
            </c:numRef>
          </c:val>
          <c:extLst>
            <c:ext xmlns:c16="http://schemas.microsoft.com/office/drawing/2014/chart" uri="{C3380CC4-5D6E-409C-BE32-E72D297353CC}">
              <c16:uniqueId val="{00000000-67F7-4710-8131-0F3E7202FD90}"/>
            </c:ext>
          </c:extLst>
        </c:ser>
        <c:ser>
          <c:idx val="0"/>
          <c:order val="0"/>
          <c:tx>
            <c:strRef>
              <c:f>Pivot!$F$33</c:f>
              <c:strCache>
                <c:ptCount val="1"/>
                <c:pt idx="0">
                  <c:v>Average of Recovery Score</c:v>
                </c:pt>
              </c:strCache>
            </c:strRef>
          </c:tx>
          <c:spPr>
            <a:solidFill>
              <a:schemeClr val="accent2">
                <a:shade val="65000"/>
              </a:schemeClr>
            </a:solidFill>
            <a:ln>
              <a:noFill/>
            </a:ln>
            <a:effectLst/>
          </c:spPr>
          <c:invertIfNegative val="0"/>
          <c:dLbls>
            <c:spPr>
              <a:solidFill>
                <a:srgbClr val="70557B"/>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Pivot!$E$34:$E$39</c:f>
              <c:strCache>
                <c:ptCount val="6"/>
                <c:pt idx="0">
                  <c:v>Cardiology</c:v>
                </c:pt>
                <c:pt idx="1">
                  <c:v>Gastroenterology</c:v>
                </c:pt>
                <c:pt idx="2">
                  <c:v>Neurology</c:v>
                </c:pt>
                <c:pt idx="3">
                  <c:v>Oncology</c:v>
                </c:pt>
                <c:pt idx="4">
                  <c:v>Orthopedics</c:v>
                </c:pt>
                <c:pt idx="5">
                  <c:v>Pediatrics</c:v>
                </c:pt>
              </c:strCache>
            </c:strRef>
          </c:cat>
          <c:val>
            <c:numRef>
              <c:f>Pivot!$F$34:$F$39</c:f>
              <c:numCache>
                <c:formatCode>0.0</c:formatCode>
                <c:ptCount val="6"/>
                <c:pt idx="0">
                  <c:v>70.5</c:v>
                </c:pt>
                <c:pt idx="1">
                  <c:v>71.804878048780495</c:v>
                </c:pt>
                <c:pt idx="2">
                  <c:v>66.392857142857139</c:v>
                </c:pt>
                <c:pt idx="3">
                  <c:v>72.41935483870968</c:v>
                </c:pt>
                <c:pt idx="4">
                  <c:v>67.263157894736835</c:v>
                </c:pt>
                <c:pt idx="5">
                  <c:v>73.131578947368425</c:v>
                </c:pt>
              </c:numCache>
            </c:numRef>
          </c:val>
          <c:extLst>
            <c:ext xmlns:c16="http://schemas.microsoft.com/office/drawing/2014/chart" uri="{C3380CC4-5D6E-409C-BE32-E72D297353CC}">
              <c16:uniqueId val="{00000001-67F7-4710-8131-0F3E7202FD90}"/>
            </c:ext>
          </c:extLst>
        </c:ser>
        <c:ser>
          <c:idx val="1"/>
          <c:order val="1"/>
          <c:tx>
            <c:strRef>
              <c:f>Pivot!$G$33</c:f>
              <c:strCache>
                <c:ptCount val="1"/>
                <c:pt idx="0">
                  <c:v>Min of Recovery Score</c:v>
                </c:pt>
              </c:strCache>
            </c:strRef>
          </c:tx>
          <c:spPr>
            <a:solidFill>
              <a:schemeClr val="accent2"/>
            </a:solidFill>
            <a:ln>
              <a:noFill/>
            </a:ln>
            <a:effectLst/>
          </c:spPr>
          <c:invertIfNegative val="0"/>
          <c:dLbls>
            <c:spPr>
              <a:solidFill>
                <a:srgbClr val="70557B"/>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Pivot!$E$34:$E$39</c:f>
              <c:strCache>
                <c:ptCount val="6"/>
                <c:pt idx="0">
                  <c:v>Cardiology</c:v>
                </c:pt>
                <c:pt idx="1">
                  <c:v>Gastroenterology</c:v>
                </c:pt>
                <c:pt idx="2">
                  <c:v>Neurology</c:v>
                </c:pt>
                <c:pt idx="3">
                  <c:v>Oncology</c:v>
                </c:pt>
                <c:pt idx="4">
                  <c:v>Orthopedics</c:v>
                </c:pt>
                <c:pt idx="5">
                  <c:v>Pediatrics</c:v>
                </c:pt>
              </c:strCache>
            </c:strRef>
          </c:cat>
          <c:val>
            <c:numRef>
              <c:f>Pivot!$G$34:$G$39</c:f>
              <c:numCache>
                <c:formatCode>General</c:formatCode>
                <c:ptCount val="6"/>
                <c:pt idx="0">
                  <c:v>41</c:v>
                </c:pt>
                <c:pt idx="1">
                  <c:v>40</c:v>
                </c:pt>
                <c:pt idx="2">
                  <c:v>40</c:v>
                </c:pt>
                <c:pt idx="3">
                  <c:v>41</c:v>
                </c:pt>
                <c:pt idx="4">
                  <c:v>40</c:v>
                </c:pt>
                <c:pt idx="5">
                  <c:v>42</c:v>
                </c:pt>
              </c:numCache>
            </c:numRef>
          </c:val>
          <c:extLst>
            <c:ext xmlns:c16="http://schemas.microsoft.com/office/drawing/2014/chart" uri="{C3380CC4-5D6E-409C-BE32-E72D297353CC}">
              <c16:uniqueId val="{00000002-67F7-4710-8131-0F3E7202FD90}"/>
            </c:ext>
          </c:extLst>
        </c:ser>
        <c:dLbls>
          <c:dLblPos val="ctr"/>
          <c:showLegendKey val="0"/>
          <c:showVal val="1"/>
          <c:showCatName val="0"/>
          <c:showSerName val="0"/>
          <c:showPercent val="0"/>
          <c:showBubbleSize val="0"/>
        </c:dLbls>
        <c:gapWidth val="79"/>
        <c:overlap val="100"/>
        <c:axId val="1061634831"/>
        <c:axId val="1061636751"/>
      </c:barChart>
      <c:valAx>
        <c:axId val="1061636751"/>
        <c:scaling>
          <c:orientation val="minMax"/>
        </c:scaling>
        <c:delete val="1"/>
        <c:axPos val="l"/>
        <c:numFmt formatCode="0%" sourceLinked="1"/>
        <c:majorTickMark val="none"/>
        <c:minorTickMark val="none"/>
        <c:tickLblPos val="nextTo"/>
        <c:crossAx val="1061634831"/>
        <c:crosses val="autoZero"/>
        <c:crossBetween val="between"/>
      </c:valAx>
      <c:catAx>
        <c:axId val="1061634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bg1"/>
                </a:solidFill>
                <a:latin typeface="+mn-lt"/>
                <a:ea typeface="+mn-ea"/>
                <a:cs typeface="+mn-cs"/>
              </a:defRPr>
            </a:pPr>
            <a:endParaRPr lang="en-US"/>
          </a:p>
        </c:txPr>
        <c:crossAx val="1061636751"/>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70557B"/>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[Patient_Analysis_Report.xlsx]Pivot!PivotTable6</c:name>
    <c:fmtId val="7"/>
  </c:pivotSource>
  <c:chart>
    <c:title>
      <c:tx>
        <c:rich>
          <a:bodyPr rot="0" spcFirstLastPara="1" vertOverflow="ellipsis" vert="horz" wrap="square" anchor="ctr" anchorCtr="1"/>
          <a:lstStyle/>
          <a:p>
            <a:pPr>
              <a:defRPr sz="1050" b="1" i="0" u="none" strike="noStrike" kern="1200" cap="all" spc="120" normalizeH="0" baseline="0">
                <a:solidFill>
                  <a:schemeClr val="bg1"/>
                </a:solidFill>
                <a:latin typeface="+mn-lt"/>
                <a:ea typeface="+mn-ea"/>
                <a:cs typeface="+mn-cs"/>
              </a:defRPr>
            </a:pPr>
            <a:r>
              <a:rPr lang="en-IN" sz="1000"/>
              <a:t>Average Treatment Cost Per Doctor</a:t>
            </a:r>
          </a:p>
        </c:rich>
      </c:tx>
      <c:overlay val="0"/>
      <c:spPr>
        <a:noFill/>
        <a:ln>
          <a:noFill/>
        </a:ln>
        <a:effectLst/>
      </c:spPr>
      <c:txPr>
        <a:bodyPr rot="0" spcFirstLastPara="1" vertOverflow="ellipsis" vert="horz" wrap="square" anchor="ctr" anchorCtr="1"/>
        <a:lstStyle/>
        <a:p>
          <a:pPr>
            <a:defRPr sz="1050" b="1" i="0" u="none" strike="noStrike" kern="1200" cap="all" spc="120" normalizeH="0" baseline="0">
              <a:solidFill>
                <a:schemeClr val="bg1"/>
              </a:solidFill>
              <a:latin typeface="+mn-lt"/>
              <a:ea typeface="+mn-ea"/>
              <a:cs typeface="+mn-cs"/>
            </a:defRPr>
          </a:pPr>
          <a:endParaRPr lang="en-IN"/>
        </a:p>
      </c:txPr>
    </c:title>
    <c:autoTitleDeleted val="0"/>
    <c:pivotFmts>
      <c:pivotFmt>
        <c:idx val="0"/>
      </c:pivotFmt>
      <c:pivotFmt>
        <c:idx val="1"/>
      </c:pivotFmt>
      <c:pivotFmt>
        <c:idx val="2"/>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ln w="22225" cap="rnd">
            <a:solidFill>
              <a:schemeClr val="accent2"/>
            </a:solidFill>
            <a:round/>
          </a:ln>
          <a:effectLst/>
        </c:spPr>
        <c:marker>
          <c:symbol val="diamond"/>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47117245088238"/>
          <c:y val="0.24267759562841529"/>
          <c:w val="0.82539297008809309"/>
          <c:h val="0.58734047588313754"/>
        </c:manualLayout>
      </c:layout>
      <c:lineChart>
        <c:grouping val="standard"/>
        <c:varyColors val="0"/>
        <c:ser>
          <c:idx val="0"/>
          <c:order val="0"/>
          <c:tx>
            <c:strRef>
              <c:f>Pivot!$F$23</c:f>
              <c:strCache>
                <c:ptCount val="1"/>
                <c:pt idx="0">
                  <c:v>Total</c:v>
                </c:pt>
              </c:strCache>
            </c:strRef>
          </c:tx>
          <c:spPr>
            <a:ln w="22225" cap="rnd">
              <a:solidFill>
                <a:schemeClr val="accent2"/>
              </a:solidFill>
              <a:round/>
            </a:ln>
            <a:effectLst/>
          </c:spPr>
          <c:marker>
            <c:symbol val="diamond"/>
            <c:size val="6"/>
            <c:spPr>
              <a:solidFill>
                <a:schemeClr val="accent2"/>
              </a:solidFill>
              <a:ln w="9525">
                <a:solidFill>
                  <a:schemeClr val="accen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Pivot!$E$24:$E$28</c:f>
              <c:strCache>
                <c:ptCount val="5"/>
                <c:pt idx="0">
                  <c:v>Dr. A. Sharma</c:v>
                </c:pt>
                <c:pt idx="1">
                  <c:v>Dr. L. Khan</c:v>
                </c:pt>
                <c:pt idx="2">
                  <c:v>Dr. M. Patel</c:v>
                </c:pt>
                <c:pt idx="3">
                  <c:v>Dr. R. Singh</c:v>
                </c:pt>
                <c:pt idx="4">
                  <c:v>Dr. T. Mehta</c:v>
                </c:pt>
              </c:strCache>
            </c:strRef>
          </c:cat>
          <c:val>
            <c:numRef>
              <c:f>Pivot!$F$24:$F$28</c:f>
              <c:numCache>
                <c:formatCode>0.0</c:formatCode>
                <c:ptCount val="5"/>
                <c:pt idx="0">
                  <c:v>76987.606</c:v>
                </c:pt>
                <c:pt idx="1">
                  <c:v>82422.094347826089</c:v>
                </c:pt>
                <c:pt idx="2">
                  <c:v>70756.393414634149</c:v>
                </c:pt>
                <c:pt idx="3">
                  <c:v>74882.177777777775</c:v>
                </c:pt>
                <c:pt idx="4">
                  <c:v>93893.369736842098</c:v>
                </c:pt>
              </c:numCache>
            </c:numRef>
          </c:val>
          <c:smooth val="0"/>
          <c:extLst>
            <c:ext xmlns:c16="http://schemas.microsoft.com/office/drawing/2014/chart" uri="{C3380CC4-5D6E-409C-BE32-E72D297353CC}">
              <c16:uniqueId val="{00000002-30CD-4D0D-B830-D0164178BC37}"/>
            </c:ext>
          </c:extLst>
        </c:ser>
        <c:dLbls>
          <c:showLegendKey val="0"/>
          <c:showVal val="0"/>
          <c:showCatName val="0"/>
          <c:showSerName val="0"/>
          <c:showPercent val="0"/>
          <c:showBubbleSize val="0"/>
        </c:dLbls>
        <c:marker val="1"/>
        <c:smooth val="0"/>
        <c:axId val="277413023"/>
        <c:axId val="277414463"/>
      </c:lineChart>
      <c:catAx>
        <c:axId val="277413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bg1"/>
                </a:solidFill>
                <a:latin typeface="+mn-lt"/>
                <a:ea typeface="+mn-ea"/>
                <a:cs typeface="+mn-cs"/>
              </a:defRPr>
            </a:pPr>
            <a:endParaRPr lang="en-US"/>
          </a:p>
        </c:txPr>
        <c:crossAx val="277414463"/>
        <c:crosses val="autoZero"/>
        <c:auto val="1"/>
        <c:lblAlgn val="ctr"/>
        <c:lblOffset val="100"/>
        <c:noMultiLvlLbl val="0"/>
      </c:catAx>
      <c:valAx>
        <c:axId val="277414463"/>
        <c:scaling>
          <c:orientation val="minMax"/>
        </c:scaling>
        <c:delete val="0"/>
        <c:axPos val="l"/>
        <c:numFmt formatCode="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77413023"/>
        <c:crosses val="autoZero"/>
        <c:crossBetween val="between"/>
      </c:valAx>
      <c:spPr>
        <a:noFill/>
        <a:ln>
          <a:noFill/>
        </a:ln>
        <a:effectLst/>
      </c:spPr>
    </c:plotArea>
    <c:plotVisOnly val="1"/>
    <c:dispBlanksAs val="gap"/>
    <c:showDLblsOverMax val="0"/>
    <c:extLst/>
  </c:chart>
  <c:spPr>
    <a:solidFill>
      <a:srgbClr val="70557B"/>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[Patient_Analysis_Report.xlsx]Pivot!PivotTable9</c:name>
    <c:fmtId val="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1" i="0" u="none" strike="noStrike" kern="1200" baseline="0">
                <a:solidFill>
                  <a:sysClr val="window" lastClr="FFFFFF"/>
                </a:solidFill>
                <a:latin typeface="+mn-lt"/>
                <a:ea typeface="+mn-ea"/>
                <a:cs typeface="+mn-cs"/>
              </a:defRPr>
            </a:pPr>
            <a:r>
              <a:rPr lang="en-IN" sz="1000" b="1" i="0" u="none" strike="noStrike" kern="1200" cap="all" spc="120" normalizeH="0" baseline="0">
                <a:solidFill>
                  <a:sysClr val="window" lastClr="FFFFFF"/>
                </a:solidFill>
              </a:rPr>
              <a:t>AVERAGE Recovery score By DOCTOR</a:t>
            </a:r>
          </a:p>
          <a:p>
            <a:pPr marL="0" marR="0" lvl="0" indent="0" algn="ctr" defTabSz="914400" rtl="0" eaLnBrk="1" fontAlgn="auto" latinLnBrk="0" hangingPunct="1">
              <a:lnSpc>
                <a:spcPct val="100000"/>
              </a:lnSpc>
              <a:spcBef>
                <a:spcPts val="0"/>
              </a:spcBef>
              <a:spcAft>
                <a:spcPts val="0"/>
              </a:spcAft>
              <a:buClrTx/>
              <a:buSzTx/>
              <a:buFontTx/>
              <a:buNone/>
              <a:tabLst/>
              <a:defRPr sz="1100">
                <a:solidFill>
                  <a:sysClr val="window" lastClr="FFFFFF"/>
                </a:solidFill>
              </a:defRPr>
            </a:pPr>
            <a:endParaRPr lang="en-US" sz="1100"/>
          </a:p>
          <a:p>
            <a:pPr marL="0" marR="0" lvl="0" indent="0" algn="ctr" defTabSz="914400" rtl="0" eaLnBrk="1" fontAlgn="auto" latinLnBrk="0" hangingPunct="1">
              <a:lnSpc>
                <a:spcPct val="100000"/>
              </a:lnSpc>
              <a:spcBef>
                <a:spcPts val="0"/>
              </a:spcBef>
              <a:spcAft>
                <a:spcPts val="0"/>
              </a:spcAft>
              <a:buClrTx/>
              <a:buSzTx/>
              <a:buFontTx/>
              <a:buNone/>
              <a:tabLst/>
              <a:defRPr sz="1100">
                <a:solidFill>
                  <a:sysClr val="window" lastClr="FFFFFF"/>
                </a:solidFill>
              </a:defRPr>
            </a:pPr>
            <a:endParaRPr lang="en-IN" sz="1100"/>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1" i="0" u="none" strike="noStrike" kern="1200" baseline="0">
              <a:solidFill>
                <a:sysClr val="window" lastClr="FFFFFF"/>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solidFill>
              <a:srgbClr val="70557B"/>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815530460008288"/>
          <c:y val="0.17359139631355608"/>
          <c:w val="0.69249176912096511"/>
          <c:h val="0.682140625278983"/>
        </c:manualLayout>
      </c:layout>
      <c:barChart>
        <c:barDir val="bar"/>
        <c:grouping val="clustered"/>
        <c:varyColors val="0"/>
        <c:ser>
          <c:idx val="0"/>
          <c:order val="0"/>
          <c:tx>
            <c:strRef>
              <c:f>Pivot!$C$23</c:f>
              <c:strCache>
                <c:ptCount val="1"/>
                <c:pt idx="0">
                  <c:v>Total</c:v>
                </c:pt>
              </c:strCache>
            </c:strRef>
          </c:tx>
          <c:spPr>
            <a:solidFill>
              <a:schemeClr val="accent2"/>
            </a:solidFill>
            <a:ln>
              <a:noFill/>
            </a:ln>
            <a:effectLst/>
          </c:spPr>
          <c:invertIfNegative val="0"/>
          <c:dLbls>
            <c:spPr>
              <a:solidFill>
                <a:srgbClr val="70557B"/>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strRef>
              <c:f>Pivot!$B$24:$B$28</c:f>
              <c:strCache>
                <c:ptCount val="5"/>
                <c:pt idx="0">
                  <c:v>Dr. A. Sharma</c:v>
                </c:pt>
                <c:pt idx="1">
                  <c:v>Dr. L. Khan</c:v>
                </c:pt>
                <c:pt idx="2">
                  <c:v>Dr. M. Patel</c:v>
                </c:pt>
                <c:pt idx="3">
                  <c:v>Dr. R. Singh</c:v>
                </c:pt>
                <c:pt idx="4">
                  <c:v>Dr. T. Mehta</c:v>
                </c:pt>
              </c:strCache>
            </c:strRef>
          </c:cat>
          <c:val>
            <c:numRef>
              <c:f>Pivot!$C$24:$C$28</c:f>
              <c:numCache>
                <c:formatCode>0.0</c:formatCode>
                <c:ptCount val="5"/>
                <c:pt idx="0">
                  <c:v>70.2</c:v>
                </c:pt>
                <c:pt idx="1">
                  <c:v>72.521739130434781</c:v>
                </c:pt>
                <c:pt idx="2">
                  <c:v>73.243902439024396</c:v>
                </c:pt>
                <c:pt idx="3">
                  <c:v>67.75555555555556</c:v>
                </c:pt>
                <c:pt idx="4">
                  <c:v>67.921052631578945</c:v>
                </c:pt>
              </c:numCache>
            </c:numRef>
          </c:val>
          <c:extLst>
            <c:ext xmlns:c16="http://schemas.microsoft.com/office/drawing/2014/chart" uri="{C3380CC4-5D6E-409C-BE32-E72D297353CC}">
              <c16:uniqueId val="{00000000-CBA2-4683-8B55-9056D1EAC0B1}"/>
            </c:ext>
          </c:extLst>
        </c:ser>
        <c:dLbls>
          <c:showLegendKey val="0"/>
          <c:showVal val="0"/>
          <c:showCatName val="0"/>
          <c:showSerName val="0"/>
          <c:showPercent val="0"/>
          <c:showBubbleSize val="0"/>
        </c:dLbls>
        <c:gapWidth val="219"/>
        <c:axId val="335859087"/>
        <c:axId val="968969359"/>
      </c:barChart>
      <c:catAx>
        <c:axId val="3358590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68969359"/>
        <c:crosses val="autoZero"/>
        <c:auto val="1"/>
        <c:lblAlgn val="ctr"/>
        <c:lblOffset val="100"/>
        <c:noMultiLvlLbl val="0"/>
      </c:catAx>
      <c:valAx>
        <c:axId val="968969359"/>
        <c:scaling>
          <c:orientation val="minMax"/>
        </c:scaling>
        <c:delete val="0"/>
        <c:axPos val="b"/>
        <c:numFmt formatCode="0.0"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335859087"/>
        <c:crosses val="autoZero"/>
        <c:crossBetween val="between"/>
      </c:valAx>
      <c:spPr>
        <a:solidFill>
          <a:srgbClr val="70557B"/>
        </a:solidFill>
        <a:ln>
          <a:noFill/>
        </a:ln>
        <a:effectLst/>
      </c:spPr>
    </c:plotArea>
    <c:plotVisOnly val="1"/>
    <c:dispBlanksAs val="gap"/>
    <c:showDLblsOverMax val="0"/>
    <c:extLst/>
  </c:chart>
  <c:spPr>
    <a:solidFill>
      <a:srgbClr val="70557B"/>
    </a:solidFill>
    <a:ln w="6350" cap="flat" cmpd="sng" algn="ctr">
      <a:noFill/>
      <a:prstDash val="solid"/>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[Patient_Analysis_Report.xlsx]Pivot!PivotTable2</c:name>
    <c:fmtId val="9"/>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0" i="0" u="none" strike="noStrike" kern="1200" spc="0" baseline="0">
                <a:solidFill>
                  <a:sysClr val="window" lastClr="FFFFFF"/>
                </a:solidFill>
                <a:latin typeface="+mn-lt"/>
                <a:ea typeface="+mn-ea"/>
                <a:cs typeface="+mn-cs"/>
              </a:defRPr>
            </a:pPr>
            <a:r>
              <a:rPr lang="en-IN" sz="1000" b="1" i="0" u="none" strike="noStrike" kern="1200" cap="all" spc="120" normalizeH="0" baseline="0">
                <a:solidFill>
                  <a:sysClr val="window" lastClr="FFFFFF"/>
                </a:solidFill>
              </a:rPr>
              <a:t>GENDER DISTRIBUTION ACROSS DEPARTMENTS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0" i="0" u="none" strike="noStrike" kern="1200" spc="0" baseline="0">
              <a:solidFill>
                <a:sysClr val="window" lastClr="FFFFFF"/>
              </a:solidFill>
              <a:latin typeface="+mn-lt"/>
              <a:ea typeface="+mn-ea"/>
              <a:cs typeface="+mn-cs"/>
            </a:defRPr>
          </a:pPr>
          <a:endParaRPr lang="en-IN"/>
        </a:p>
      </c:txPr>
    </c:title>
    <c:autoTitleDeleted val="0"/>
    <c:pivotFmts>
      <c:pivotFmt>
        <c:idx val="0"/>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2"/>
            </a:solidFill>
            <a:round/>
          </a:ln>
          <a:effectLst/>
        </c:spPr>
        <c:marker>
          <c:symbol val="circle"/>
          <c:size val="5"/>
          <c:spPr>
            <a:solidFill>
              <a:schemeClr val="accent2">
                <a:tint val="65000"/>
              </a:schemeClr>
            </a:solidFill>
            <a:ln w="9525">
              <a:solidFill>
                <a:schemeClr val="accent2">
                  <a:tint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2"/>
            </a:solidFill>
            <a:round/>
          </a:ln>
          <a:effectLst/>
        </c:spPr>
        <c:marker>
          <c:symbol val="circle"/>
          <c:size val="5"/>
          <c:spPr>
            <a:solidFill>
              <a:schemeClr val="accent2">
                <a:shade val="65000"/>
              </a:schemeClr>
            </a:solidFill>
            <a:ln w="9525">
              <a:solidFill>
                <a:schemeClr val="accent2">
                  <a:shade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2"/>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Pivot!$C$6:$C$7</c:f>
              <c:strCache>
                <c:ptCount val="1"/>
                <c:pt idx="0">
                  <c:v>Female</c:v>
                </c:pt>
              </c:strCache>
            </c:strRef>
          </c:tx>
          <c:spPr>
            <a:ln w="28575" cap="rnd">
              <a:solidFill>
                <a:schemeClr val="accent2">
                  <a:tint val="65000"/>
                </a:schemeClr>
              </a:solidFill>
              <a:round/>
            </a:ln>
            <a:effectLst/>
          </c:spPr>
          <c:marker>
            <c:symbol val="circle"/>
            <c:size val="5"/>
            <c:spPr>
              <a:solidFill>
                <a:schemeClr val="accent2">
                  <a:tint val="65000"/>
                </a:schemeClr>
              </a:solidFill>
              <a:ln w="9525">
                <a:solidFill>
                  <a:schemeClr val="accent2">
                    <a:tint val="65000"/>
                  </a:schemeClr>
                </a:solidFill>
              </a:ln>
              <a:effectLst/>
            </c:spPr>
          </c:marker>
          <c:cat>
            <c:strRef>
              <c:f>Pivot!$B$8:$B$13</c:f>
              <c:strCache>
                <c:ptCount val="6"/>
                <c:pt idx="0">
                  <c:v>Cardiology</c:v>
                </c:pt>
                <c:pt idx="1">
                  <c:v>Gastroenterology</c:v>
                </c:pt>
                <c:pt idx="2">
                  <c:v>Neurology</c:v>
                </c:pt>
                <c:pt idx="3">
                  <c:v>Oncology</c:v>
                </c:pt>
                <c:pt idx="4">
                  <c:v>Orthopedics</c:v>
                </c:pt>
                <c:pt idx="5">
                  <c:v>Pediatrics</c:v>
                </c:pt>
              </c:strCache>
            </c:strRef>
          </c:cat>
          <c:val>
            <c:numRef>
              <c:f>Pivot!$C$8:$C$13</c:f>
              <c:numCache>
                <c:formatCode>General</c:formatCode>
                <c:ptCount val="6"/>
                <c:pt idx="0">
                  <c:v>8</c:v>
                </c:pt>
                <c:pt idx="1">
                  <c:v>11</c:v>
                </c:pt>
                <c:pt idx="2">
                  <c:v>7</c:v>
                </c:pt>
                <c:pt idx="3">
                  <c:v>10</c:v>
                </c:pt>
                <c:pt idx="4">
                  <c:v>11</c:v>
                </c:pt>
                <c:pt idx="5">
                  <c:v>10</c:v>
                </c:pt>
              </c:numCache>
            </c:numRef>
          </c:val>
          <c:smooth val="0"/>
          <c:extLst>
            <c:ext xmlns:c16="http://schemas.microsoft.com/office/drawing/2014/chart" uri="{C3380CC4-5D6E-409C-BE32-E72D297353CC}">
              <c16:uniqueId val="{00000000-F0B0-4688-80CB-54A3F0C22C31}"/>
            </c:ext>
          </c:extLst>
        </c:ser>
        <c:ser>
          <c:idx val="1"/>
          <c:order val="1"/>
          <c:tx>
            <c:strRef>
              <c:f>Pivot!$D$6:$D$7</c:f>
              <c:strCache>
                <c:ptCount val="1"/>
                <c:pt idx="0">
                  <c:v>Male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Pivot!$B$8:$B$13</c:f>
              <c:strCache>
                <c:ptCount val="6"/>
                <c:pt idx="0">
                  <c:v>Cardiology</c:v>
                </c:pt>
                <c:pt idx="1">
                  <c:v>Gastroenterology</c:v>
                </c:pt>
                <c:pt idx="2">
                  <c:v>Neurology</c:v>
                </c:pt>
                <c:pt idx="3">
                  <c:v>Oncology</c:v>
                </c:pt>
                <c:pt idx="4">
                  <c:v>Orthopedics</c:v>
                </c:pt>
                <c:pt idx="5">
                  <c:v>Pediatrics</c:v>
                </c:pt>
              </c:strCache>
            </c:strRef>
          </c:cat>
          <c:val>
            <c:numRef>
              <c:f>Pivot!$D$8:$D$13</c:f>
              <c:numCache>
                <c:formatCode>General</c:formatCode>
                <c:ptCount val="6"/>
                <c:pt idx="0">
                  <c:v>8</c:v>
                </c:pt>
                <c:pt idx="1">
                  <c:v>21</c:v>
                </c:pt>
                <c:pt idx="2">
                  <c:v>6</c:v>
                </c:pt>
                <c:pt idx="3">
                  <c:v>12</c:v>
                </c:pt>
                <c:pt idx="4">
                  <c:v>14</c:v>
                </c:pt>
                <c:pt idx="5">
                  <c:v>20</c:v>
                </c:pt>
              </c:numCache>
            </c:numRef>
          </c:val>
          <c:smooth val="0"/>
          <c:extLst>
            <c:ext xmlns:c16="http://schemas.microsoft.com/office/drawing/2014/chart" uri="{C3380CC4-5D6E-409C-BE32-E72D297353CC}">
              <c16:uniqueId val="{00000003-80D6-4A77-ADE5-3D7BAEEA1824}"/>
            </c:ext>
          </c:extLst>
        </c:ser>
        <c:ser>
          <c:idx val="2"/>
          <c:order val="2"/>
          <c:tx>
            <c:strRef>
              <c:f>Pivot!$E$6:$E$7</c:f>
              <c:strCache>
                <c:ptCount val="1"/>
                <c:pt idx="0">
                  <c:v>Other</c:v>
                </c:pt>
              </c:strCache>
            </c:strRef>
          </c:tx>
          <c:spPr>
            <a:ln w="28575" cap="rnd">
              <a:solidFill>
                <a:schemeClr val="accent2">
                  <a:shade val="65000"/>
                </a:schemeClr>
              </a:solidFill>
              <a:round/>
            </a:ln>
            <a:effectLst/>
          </c:spPr>
          <c:marker>
            <c:symbol val="circle"/>
            <c:size val="5"/>
            <c:spPr>
              <a:solidFill>
                <a:schemeClr val="accent2">
                  <a:shade val="65000"/>
                </a:schemeClr>
              </a:solidFill>
              <a:ln w="9525">
                <a:solidFill>
                  <a:schemeClr val="accent2">
                    <a:shade val="65000"/>
                  </a:schemeClr>
                </a:solidFill>
              </a:ln>
              <a:effectLst/>
            </c:spPr>
          </c:marker>
          <c:cat>
            <c:strRef>
              <c:f>Pivot!$B$8:$B$13</c:f>
              <c:strCache>
                <c:ptCount val="6"/>
                <c:pt idx="0">
                  <c:v>Cardiology</c:v>
                </c:pt>
                <c:pt idx="1">
                  <c:v>Gastroenterology</c:v>
                </c:pt>
                <c:pt idx="2">
                  <c:v>Neurology</c:v>
                </c:pt>
                <c:pt idx="3">
                  <c:v>Oncology</c:v>
                </c:pt>
                <c:pt idx="4">
                  <c:v>Orthopedics</c:v>
                </c:pt>
                <c:pt idx="5">
                  <c:v>Pediatrics</c:v>
                </c:pt>
              </c:strCache>
            </c:strRef>
          </c:cat>
          <c:val>
            <c:numRef>
              <c:f>Pivot!$E$8:$E$13</c:f>
              <c:numCache>
                <c:formatCode>General</c:formatCode>
                <c:ptCount val="6"/>
                <c:pt idx="0">
                  <c:v>8</c:v>
                </c:pt>
                <c:pt idx="1">
                  <c:v>9</c:v>
                </c:pt>
                <c:pt idx="2">
                  <c:v>15</c:v>
                </c:pt>
                <c:pt idx="3">
                  <c:v>9</c:v>
                </c:pt>
                <c:pt idx="4">
                  <c:v>13</c:v>
                </c:pt>
                <c:pt idx="5">
                  <c:v>8</c:v>
                </c:pt>
              </c:numCache>
            </c:numRef>
          </c:val>
          <c:smooth val="0"/>
          <c:extLst>
            <c:ext xmlns:c16="http://schemas.microsoft.com/office/drawing/2014/chart" uri="{C3380CC4-5D6E-409C-BE32-E72D297353CC}">
              <c16:uniqueId val="{00000004-80D6-4A77-ADE5-3D7BAEEA1824}"/>
            </c:ext>
          </c:extLst>
        </c:ser>
        <c:dLbls>
          <c:showLegendKey val="0"/>
          <c:showVal val="0"/>
          <c:showCatName val="0"/>
          <c:showSerName val="0"/>
          <c:showPercent val="0"/>
          <c:showBubbleSize val="0"/>
        </c:dLbls>
        <c:marker val="1"/>
        <c:smooth val="0"/>
        <c:axId val="277413023"/>
        <c:axId val="277414463"/>
      </c:lineChart>
      <c:catAx>
        <c:axId val="277413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77414463"/>
        <c:crosses val="autoZero"/>
        <c:auto val="1"/>
        <c:lblAlgn val="ctr"/>
        <c:lblOffset val="100"/>
        <c:noMultiLvlLbl val="0"/>
      </c:catAx>
      <c:valAx>
        <c:axId val="2774144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77413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70557B"/>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[Patient_Analysis_Report.xlsx]Pivot!PivotTable5</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 lastClr="FFFFFF"/>
                </a:solidFill>
                <a:latin typeface="+mn-lt"/>
                <a:ea typeface="+mn-ea"/>
                <a:cs typeface="+mn-cs"/>
              </a:defRPr>
            </a:pPr>
            <a:r>
              <a:rPr lang="en-IN" sz="1000" b="1" i="0" u="none" strike="noStrike" kern="1200" cap="all" spc="120" normalizeH="0" baseline="0">
                <a:solidFill>
                  <a:sysClr val="window" lastClr="FFFFFF"/>
                </a:solidFill>
              </a:rPr>
              <a:t>AVERAGE TREATMENT COST PER TREATMENT TYPE</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endParaRPr lang="en-US" sz="1000"/>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 lastClr="FFFFFF"/>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solidFill>
              <a:schemeClr val="accent2">
                <a:lumMod val="75000"/>
              </a:schemeClr>
            </a:solidFill>
            <a:ln>
              <a:noFill/>
            </a:ln>
            <a:effectLst/>
          </c:spPr>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554857981282413E-2"/>
          <c:y val="0.22066666666666668"/>
          <c:w val="0.82277239008821001"/>
          <c:h val="0.53555113996330395"/>
        </c:manualLayout>
      </c:layout>
      <c:areaChart>
        <c:grouping val="stacked"/>
        <c:varyColors val="0"/>
        <c:ser>
          <c:idx val="0"/>
          <c:order val="0"/>
          <c:tx>
            <c:strRef>
              <c:f>Pivot!$F$16</c:f>
              <c:strCache>
                <c:ptCount val="1"/>
                <c:pt idx="0">
                  <c:v>Total</c:v>
                </c:pt>
              </c:strCache>
            </c:strRef>
          </c:tx>
          <c:spPr>
            <a:solidFill>
              <a:schemeClr val="accent2"/>
            </a:solidFill>
            <a:ln>
              <a:noFill/>
            </a:ln>
            <a:effectLst/>
          </c:spPr>
          <c:dLbls>
            <c:spPr>
              <a:solidFill>
                <a:schemeClr val="accent2">
                  <a:lumMod val="75000"/>
                </a:schemeClr>
              </a:solidFill>
              <a:ln>
                <a:noFill/>
              </a:ln>
              <a:effectLst/>
            </c:spPr>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strRef>
              <c:f>Pivot!$E$17:$E$20</c:f>
              <c:strCache>
                <c:ptCount val="4"/>
                <c:pt idx="0">
                  <c:v>Medication</c:v>
                </c:pt>
                <c:pt idx="1">
                  <c:v>Observation</c:v>
                </c:pt>
                <c:pt idx="2">
                  <c:v>Surgery</c:v>
                </c:pt>
                <c:pt idx="3">
                  <c:v>Therapy</c:v>
                </c:pt>
              </c:strCache>
            </c:strRef>
          </c:cat>
          <c:val>
            <c:numRef>
              <c:f>Pivot!$F$17:$F$20</c:f>
              <c:numCache>
                <c:formatCode>_-[$$-409]* #,##0.00_ ;_-[$$-409]* \-#,##0.00\ ;_-[$$-409]* "-"??_ ;_-@_ </c:formatCode>
                <c:ptCount val="4"/>
                <c:pt idx="0">
                  <c:v>80753.246545454531</c:v>
                </c:pt>
                <c:pt idx="1">
                  <c:v>78660.429999999993</c:v>
                </c:pt>
                <c:pt idx="2">
                  <c:v>83729.879166666666</c:v>
                </c:pt>
                <c:pt idx="3">
                  <c:v>75643.994600000005</c:v>
                </c:pt>
              </c:numCache>
            </c:numRef>
          </c:val>
          <c:extLst>
            <c:ext xmlns:c16="http://schemas.microsoft.com/office/drawing/2014/chart" uri="{C3380CC4-5D6E-409C-BE32-E72D297353CC}">
              <c16:uniqueId val="{00000000-9D83-4180-96FB-A0D3D99D6EAF}"/>
            </c:ext>
          </c:extLst>
        </c:ser>
        <c:dLbls>
          <c:showLegendKey val="0"/>
          <c:showVal val="0"/>
          <c:showCatName val="0"/>
          <c:showSerName val="0"/>
          <c:showPercent val="0"/>
          <c:showBubbleSize val="0"/>
        </c:dLbls>
        <c:axId val="335859087"/>
        <c:axId val="968969359"/>
      </c:areaChart>
      <c:catAx>
        <c:axId val="335859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68969359"/>
        <c:crosses val="autoZero"/>
        <c:auto val="1"/>
        <c:lblAlgn val="ctr"/>
        <c:lblOffset val="100"/>
        <c:noMultiLvlLbl val="0"/>
      </c:catAx>
      <c:valAx>
        <c:axId val="968969359"/>
        <c:scaling>
          <c:orientation val="minMax"/>
        </c:scaling>
        <c:delete val="1"/>
        <c:axPos val="l"/>
        <c:numFmt formatCode="_-[$$-409]* #,##0.00_ ;_-[$$-409]* \-#,##0.00\ ;_-[$$-409]* &quot;-&quot;??_ ;_-@_ " sourceLinked="1"/>
        <c:majorTickMark val="none"/>
        <c:minorTickMark val="none"/>
        <c:tickLblPos val="nextTo"/>
        <c:crossAx val="335859087"/>
        <c:crosses val="autoZero"/>
        <c:crossBetween val="midCat"/>
      </c:valAx>
      <c:spPr>
        <a:solidFill>
          <a:srgbClr val="70557B"/>
        </a:solidFill>
        <a:ln>
          <a:noFill/>
        </a:ln>
        <a:effectLst/>
      </c:spPr>
    </c:plotArea>
    <c:plotVisOnly val="1"/>
    <c:dispBlanksAs val="gap"/>
    <c:showDLblsOverMax val="0"/>
    <c:extLst/>
  </c:chart>
  <c:spPr>
    <a:solidFill>
      <a:srgbClr val="70557B"/>
    </a:solidFill>
    <a:ln w="6350" cap="flat" cmpd="sng" algn="ctr">
      <a:noFill/>
      <a:prstDash val="solid"/>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[Patient_Analysis_Report.xlsx]Pivot!PivotTable35</c:name>
    <c:fmtId val="3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dLbl>
          <c:idx val="0"/>
          <c:dLblPos val="bestFit"/>
          <c:showLegendKey val="0"/>
          <c:showVal val="1"/>
          <c:showCatName val="1"/>
          <c:showSerName val="0"/>
          <c:showPercent val="0"/>
          <c:showBubbleSize val="0"/>
          <c:extLst>
            <c:ext xmlns:c15="http://schemas.microsoft.com/office/drawing/2012/chart" uri="{CE6537A1-D6FC-4f65-9D91-7224C49458BB}"/>
          </c:extLst>
        </c:dLbl>
      </c:pivotFmt>
      <c:pivotFmt>
        <c:idx val="9"/>
      </c:pivotFmt>
      <c:pivotFmt>
        <c:idx val="10"/>
      </c:pivotFmt>
      <c:pivotFmt>
        <c:idx val="11"/>
      </c:pivotFmt>
      <c:pivotFmt>
        <c:idx val="12"/>
      </c:pivotFmt>
      <c:pivotFmt>
        <c:idx val="13"/>
      </c:pivotFmt>
      <c:pivotFmt>
        <c:idx val="14"/>
      </c:pivotFmt>
      <c:pivotFmt>
        <c:idx val="15"/>
        <c:dLbl>
          <c:idx val="0"/>
          <c:dLblPos val="bestFit"/>
          <c:showLegendKey val="0"/>
          <c:showVal val="1"/>
          <c:showCatName val="1"/>
          <c:showSerName val="0"/>
          <c:showPercent val="0"/>
          <c:showBubbleSize val="0"/>
          <c:extLst>
            <c:ext xmlns:c15="http://schemas.microsoft.com/office/drawing/2012/chart" uri="{CE6537A1-D6FC-4f65-9D91-7224C49458BB}"/>
          </c:extLst>
        </c:dLbl>
      </c:pivotFmt>
      <c:pivotFmt>
        <c:idx val="16"/>
      </c:pivotFmt>
      <c:pivotFmt>
        <c:idx val="17"/>
      </c:pivotFmt>
      <c:pivotFmt>
        <c:idx val="18"/>
      </c:pivotFmt>
      <c:pivotFmt>
        <c:idx val="19"/>
      </c:pivotFmt>
      <c:pivotFmt>
        <c:idx val="20"/>
      </c:pivotFmt>
      <c:pivotFmt>
        <c:idx val="21"/>
      </c:pivotFmt>
      <c:pivotFmt>
        <c:idx val="2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rgbClr val="7030A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2">
                  <a:tint val="50000"/>
                  <a:satMod val="103000"/>
                  <a:lumMod val="102000"/>
                  <a:tint val="94000"/>
                </a:schemeClr>
              </a:gs>
              <a:gs pos="50000">
                <a:schemeClr val="accent2">
                  <a:tint val="50000"/>
                  <a:satMod val="110000"/>
                  <a:lumMod val="100000"/>
                  <a:shade val="100000"/>
                </a:schemeClr>
              </a:gs>
              <a:gs pos="100000">
                <a:schemeClr val="accent2">
                  <a:tint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2">
                  <a:tint val="70000"/>
                  <a:satMod val="103000"/>
                  <a:lumMod val="102000"/>
                  <a:tint val="94000"/>
                </a:schemeClr>
              </a:gs>
              <a:gs pos="50000">
                <a:schemeClr val="accent2">
                  <a:tint val="70000"/>
                  <a:satMod val="110000"/>
                  <a:lumMod val="100000"/>
                  <a:shade val="100000"/>
                </a:schemeClr>
              </a:gs>
              <a:gs pos="100000">
                <a:schemeClr val="accent2">
                  <a:tint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2">
                  <a:tint val="90000"/>
                  <a:satMod val="103000"/>
                  <a:lumMod val="102000"/>
                  <a:tint val="94000"/>
                </a:schemeClr>
              </a:gs>
              <a:gs pos="50000">
                <a:schemeClr val="accent2">
                  <a:tint val="90000"/>
                  <a:satMod val="110000"/>
                  <a:lumMod val="100000"/>
                  <a:shade val="100000"/>
                </a:schemeClr>
              </a:gs>
              <a:gs pos="100000">
                <a:schemeClr val="accent2">
                  <a:tint val="9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2">
                  <a:shade val="90000"/>
                  <a:satMod val="103000"/>
                  <a:lumMod val="102000"/>
                  <a:tint val="94000"/>
                </a:schemeClr>
              </a:gs>
              <a:gs pos="50000">
                <a:schemeClr val="accent2">
                  <a:shade val="90000"/>
                  <a:satMod val="110000"/>
                  <a:lumMod val="100000"/>
                  <a:shade val="100000"/>
                </a:schemeClr>
              </a:gs>
              <a:gs pos="100000">
                <a:schemeClr val="accent2">
                  <a:shade val="9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2">
                  <a:shade val="70000"/>
                  <a:satMod val="103000"/>
                  <a:lumMod val="102000"/>
                  <a:tint val="94000"/>
                </a:schemeClr>
              </a:gs>
              <a:gs pos="50000">
                <a:schemeClr val="accent2">
                  <a:shade val="70000"/>
                  <a:satMod val="110000"/>
                  <a:lumMod val="100000"/>
                  <a:shade val="100000"/>
                </a:schemeClr>
              </a:gs>
              <a:gs pos="100000">
                <a:schemeClr val="accent2">
                  <a:shade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2">
                  <a:shade val="50000"/>
                  <a:satMod val="103000"/>
                  <a:lumMod val="102000"/>
                  <a:tint val="94000"/>
                </a:schemeClr>
              </a:gs>
              <a:gs pos="50000">
                <a:schemeClr val="accent2">
                  <a:shade val="50000"/>
                  <a:satMod val="110000"/>
                  <a:lumMod val="100000"/>
                  <a:shade val="100000"/>
                </a:schemeClr>
              </a:gs>
              <a:gs pos="100000">
                <a:schemeClr val="accent2">
                  <a:shade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rgbClr val="7030A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2">
                  <a:tint val="50000"/>
                  <a:satMod val="103000"/>
                  <a:lumMod val="102000"/>
                  <a:tint val="94000"/>
                </a:schemeClr>
              </a:gs>
              <a:gs pos="50000">
                <a:schemeClr val="accent2">
                  <a:tint val="50000"/>
                  <a:satMod val="110000"/>
                  <a:lumMod val="100000"/>
                  <a:shade val="100000"/>
                </a:schemeClr>
              </a:gs>
              <a:gs pos="100000">
                <a:schemeClr val="accent2">
                  <a:tint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2">
                  <a:tint val="70000"/>
                  <a:satMod val="103000"/>
                  <a:lumMod val="102000"/>
                  <a:tint val="94000"/>
                </a:schemeClr>
              </a:gs>
              <a:gs pos="50000">
                <a:schemeClr val="accent2">
                  <a:tint val="70000"/>
                  <a:satMod val="110000"/>
                  <a:lumMod val="100000"/>
                  <a:shade val="100000"/>
                </a:schemeClr>
              </a:gs>
              <a:gs pos="100000">
                <a:schemeClr val="accent2">
                  <a:tint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2">
                  <a:tint val="90000"/>
                  <a:satMod val="103000"/>
                  <a:lumMod val="102000"/>
                  <a:tint val="94000"/>
                </a:schemeClr>
              </a:gs>
              <a:gs pos="50000">
                <a:schemeClr val="accent2">
                  <a:tint val="90000"/>
                  <a:satMod val="110000"/>
                  <a:lumMod val="100000"/>
                  <a:shade val="100000"/>
                </a:schemeClr>
              </a:gs>
              <a:gs pos="100000">
                <a:schemeClr val="accent2">
                  <a:tint val="9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2">
                  <a:shade val="90000"/>
                  <a:satMod val="103000"/>
                  <a:lumMod val="102000"/>
                  <a:tint val="94000"/>
                </a:schemeClr>
              </a:gs>
              <a:gs pos="50000">
                <a:schemeClr val="accent2">
                  <a:shade val="90000"/>
                  <a:satMod val="110000"/>
                  <a:lumMod val="100000"/>
                  <a:shade val="100000"/>
                </a:schemeClr>
              </a:gs>
              <a:gs pos="100000">
                <a:schemeClr val="accent2">
                  <a:shade val="9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2">
                  <a:shade val="70000"/>
                  <a:satMod val="103000"/>
                  <a:lumMod val="102000"/>
                  <a:tint val="94000"/>
                </a:schemeClr>
              </a:gs>
              <a:gs pos="50000">
                <a:schemeClr val="accent2">
                  <a:shade val="70000"/>
                  <a:satMod val="110000"/>
                  <a:lumMod val="100000"/>
                  <a:shade val="100000"/>
                </a:schemeClr>
              </a:gs>
              <a:gs pos="100000">
                <a:schemeClr val="accent2">
                  <a:shade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2">
                  <a:shade val="50000"/>
                  <a:satMod val="103000"/>
                  <a:lumMod val="102000"/>
                  <a:tint val="94000"/>
                </a:schemeClr>
              </a:gs>
              <a:gs pos="50000">
                <a:schemeClr val="accent2">
                  <a:shade val="50000"/>
                  <a:satMod val="110000"/>
                  <a:lumMod val="100000"/>
                  <a:shade val="100000"/>
                </a:schemeClr>
              </a:gs>
              <a:gs pos="100000">
                <a:schemeClr val="accent2">
                  <a:shade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rgbClr val="7030A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2">
                  <a:tint val="50000"/>
                  <a:satMod val="103000"/>
                  <a:lumMod val="102000"/>
                  <a:tint val="94000"/>
                </a:schemeClr>
              </a:gs>
              <a:gs pos="50000">
                <a:schemeClr val="accent2">
                  <a:tint val="50000"/>
                  <a:satMod val="110000"/>
                  <a:lumMod val="100000"/>
                  <a:shade val="100000"/>
                </a:schemeClr>
              </a:gs>
              <a:gs pos="100000">
                <a:schemeClr val="accent2">
                  <a:tint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
        <c:spPr>
          <a:gradFill rotWithShape="1">
            <a:gsLst>
              <a:gs pos="0">
                <a:schemeClr val="accent2">
                  <a:tint val="70000"/>
                  <a:satMod val="103000"/>
                  <a:lumMod val="102000"/>
                  <a:tint val="94000"/>
                </a:schemeClr>
              </a:gs>
              <a:gs pos="50000">
                <a:schemeClr val="accent2">
                  <a:tint val="70000"/>
                  <a:satMod val="110000"/>
                  <a:lumMod val="100000"/>
                  <a:shade val="100000"/>
                </a:schemeClr>
              </a:gs>
              <a:gs pos="100000">
                <a:schemeClr val="accent2">
                  <a:tint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
        <c:spPr>
          <a:gradFill rotWithShape="1">
            <a:gsLst>
              <a:gs pos="0">
                <a:schemeClr val="accent2">
                  <a:tint val="90000"/>
                  <a:satMod val="103000"/>
                  <a:lumMod val="102000"/>
                  <a:tint val="94000"/>
                </a:schemeClr>
              </a:gs>
              <a:gs pos="50000">
                <a:schemeClr val="accent2">
                  <a:tint val="90000"/>
                  <a:satMod val="110000"/>
                  <a:lumMod val="100000"/>
                  <a:shade val="100000"/>
                </a:schemeClr>
              </a:gs>
              <a:gs pos="100000">
                <a:schemeClr val="accent2">
                  <a:tint val="9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accent2">
                  <a:shade val="90000"/>
                  <a:satMod val="103000"/>
                  <a:lumMod val="102000"/>
                  <a:tint val="94000"/>
                </a:schemeClr>
              </a:gs>
              <a:gs pos="50000">
                <a:schemeClr val="accent2">
                  <a:shade val="90000"/>
                  <a:satMod val="110000"/>
                  <a:lumMod val="100000"/>
                  <a:shade val="100000"/>
                </a:schemeClr>
              </a:gs>
              <a:gs pos="100000">
                <a:schemeClr val="accent2">
                  <a:shade val="9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
        <c:spPr>
          <a:gradFill rotWithShape="1">
            <a:gsLst>
              <a:gs pos="0">
                <a:schemeClr val="accent2">
                  <a:shade val="70000"/>
                  <a:satMod val="103000"/>
                  <a:lumMod val="102000"/>
                  <a:tint val="94000"/>
                </a:schemeClr>
              </a:gs>
              <a:gs pos="50000">
                <a:schemeClr val="accent2">
                  <a:shade val="70000"/>
                  <a:satMod val="110000"/>
                  <a:lumMod val="100000"/>
                  <a:shade val="100000"/>
                </a:schemeClr>
              </a:gs>
              <a:gs pos="100000">
                <a:schemeClr val="accent2">
                  <a:shade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2"/>
        <c:spPr>
          <a:gradFill rotWithShape="1">
            <a:gsLst>
              <a:gs pos="0">
                <a:schemeClr val="accent2">
                  <a:shade val="50000"/>
                  <a:satMod val="103000"/>
                  <a:lumMod val="102000"/>
                  <a:tint val="94000"/>
                </a:schemeClr>
              </a:gs>
              <a:gs pos="50000">
                <a:schemeClr val="accent2">
                  <a:shade val="50000"/>
                  <a:satMod val="110000"/>
                  <a:lumMod val="100000"/>
                  <a:shade val="100000"/>
                </a:schemeClr>
              </a:gs>
              <a:gs pos="100000">
                <a:schemeClr val="accent2">
                  <a:shade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rgbClr val="7030A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2">
                  <a:tint val="50000"/>
                  <a:satMod val="103000"/>
                  <a:lumMod val="102000"/>
                  <a:tint val="94000"/>
                </a:schemeClr>
              </a:gs>
              <a:gs pos="50000">
                <a:schemeClr val="accent2">
                  <a:tint val="50000"/>
                  <a:satMod val="110000"/>
                  <a:lumMod val="100000"/>
                  <a:shade val="100000"/>
                </a:schemeClr>
              </a:gs>
              <a:gs pos="100000">
                <a:schemeClr val="accent2">
                  <a:tint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
        <c:spPr>
          <a:gradFill rotWithShape="1">
            <a:gsLst>
              <a:gs pos="0">
                <a:schemeClr val="accent2">
                  <a:tint val="70000"/>
                  <a:satMod val="103000"/>
                  <a:lumMod val="102000"/>
                  <a:tint val="94000"/>
                </a:schemeClr>
              </a:gs>
              <a:gs pos="50000">
                <a:schemeClr val="accent2">
                  <a:tint val="70000"/>
                  <a:satMod val="110000"/>
                  <a:lumMod val="100000"/>
                  <a:shade val="100000"/>
                </a:schemeClr>
              </a:gs>
              <a:gs pos="100000">
                <a:schemeClr val="accent2">
                  <a:tint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6"/>
        <c:spPr>
          <a:gradFill rotWithShape="1">
            <a:gsLst>
              <a:gs pos="0">
                <a:schemeClr val="accent2">
                  <a:tint val="90000"/>
                  <a:satMod val="103000"/>
                  <a:lumMod val="102000"/>
                  <a:tint val="94000"/>
                </a:schemeClr>
              </a:gs>
              <a:gs pos="50000">
                <a:schemeClr val="accent2">
                  <a:tint val="90000"/>
                  <a:satMod val="110000"/>
                  <a:lumMod val="100000"/>
                  <a:shade val="100000"/>
                </a:schemeClr>
              </a:gs>
              <a:gs pos="100000">
                <a:schemeClr val="accent2">
                  <a:tint val="9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7"/>
        <c:spPr>
          <a:gradFill rotWithShape="1">
            <a:gsLst>
              <a:gs pos="0">
                <a:schemeClr val="accent2">
                  <a:shade val="90000"/>
                  <a:satMod val="103000"/>
                  <a:lumMod val="102000"/>
                  <a:tint val="94000"/>
                </a:schemeClr>
              </a:gs>
              <a:gs pos="50000">
                <a:schemeClr val="accent2">
                  <a:shade val="90000"/>
                  <a:satMod val="110000"/>
                  <a:lumMod val="100000"/>
                  <a:shade val="100000"/>
                </a:schemeClr>
              </a:gs>
              <a:gs pos="100000">
                <a:schemeClr val="accent2">
                  <a:shade val="9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8"/>
        <c:spPr>
          <a:gradFill rotWithShape="1">
            <a:gsLst>
              <a:gs pos="0">
                <a:schemeClr val="accent2">
                  <a:shade val="70000"/>
                  <a:satMod val="103000"/>
                  <a:lumMod val="102000"/>
                  <a:tint val="94000"/>
                </a:schemeClr>
              </a:gs>
              <a:gs pos="50000">
                <a:schemeClr val="accent2">
                  <a:shade val="70000"/>
                  <a:satMod val="110000"/>
                  <a:lumMod val="100000"/>
                  <a:shade val="100000"/>
                </a:schemeClr>
              </a:gs>
              <a:gs pos="100000">
                <a:schemeClr val="accent2">
                  <a:shade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9"/>
        <c:spPr>
          <a:gradFill rotWithShape="1">
            <a:gsLst>
              <a:gs pos="0">
                <a:schemeClr val="accent2">
                  <a:shade val="50000"/>
                  <a:satMod val="103000"/>
                  <a:lumMod val="102000"/>
                  <a:tint val="94000"/>
                </a:schemeClr>
              </a:gs>
              <a:gs pos="50000">
                <a:schemeClr val="accent2">
                  <a:shade val="50000"/>
                  <a:satMod val="110000"/>
                  <a:lumMod val="100000"/>
                  <a:shade val="100000"/>
                </a:schemeClr>
              </a:gs>
              <a:gs pos="100000">
                <a:schemeClr val="accent2">
                  <a:shade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rgbClr val="7030A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2">
                  <a:tint val="50000"/>
                  <a:satMod val="103000"/>
                  <a:lumMod val="102000"/>
                  <a:tint val="94000"/>
                </a:schemeClr>
              </a:gs>
              <a:gs pos="50000">
                <a:schemeClr val="accent2">
                  <a:tint val="50000"/>
                  <a:satMod val="110000"/>
                  <a:lumMod val="100000"/>
                  <a:shade val="100000"/>
                </a:schemeClr>
              </a:gs>
              <a:gs pos="100000">
                <a:schemeClr val="accent2">
                  <a:tint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2"/>
        <c:spPr>
          <a:gradFill rotWithShape="1">
            <a:gsLst>
              <a:gs pos="0">
                <a:schemeClr val="accent2">
                  <a:tint val="70000"/>
                  <a:satMod val="103000"/>
                  <a:lumMod val="102000"/>
                  <a:tint val="94000"/>
                </a:schemeClr>
              </a:gs>
              <a:gs pos="50000">
                <a:schemeClr val="accent2">
                  <a:tint val="70000"/>
                  <a:satMod val="110000"/>
                  <a:lumMod val="100000"/>
                  <a:shade val="100000"/>
                </a:schemeClr>
              </a:gs>
              <a:gs pos="100000">
                <a:schemeClr val="accent2">
                  <a:tint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3"/>
        <c:spPr>
          <a:gradFill rotWithShape="1">
            <a:gsLst>
              <a:gs pos="0">
                <a:schemeClr val="accent2">
                  <a:tint val="90000"/>
                  <a:satMod val="103000"/>
                  <a:lumMod val="102000"/>
                  <a:tint val="94000"/>
                </a:schemeClr>
              </a:gs>
              <a:gs pos="50000">
                <a:schemeClr val="accent2">
                  <a:tint val="90000"/>
                  <a:satMod val="110000"/>
                  <a:lumMod val="100000"/>
                  <a:shade val="100000"/>
                </a:schemeClr>
              </a:gs>
              <a:gs pos="100000">
                <a:schemeClr val="accent2">
                  <a:tint val="9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4"/>
        <c:spPr>
          <a:gradFill rotWithShape="1">
            <a:gsLst>
              <a:gs pos="0">
                <a:schemeClr val="accent2">
                  <a:shade val="90000"/>
                  <a:satMod val="103000"/>
                  <a:lumMod val="102000"/>
                  <a:tint val="94000"/>
                </a:schemeClr>
              </a:gs>
              <a:gs pos="50000">
                <a:schemeClr val="accent2">
                  <a:shade val="90000"/>
                  <a:satMod val="110000"/>
                  <a:lumMod val="100000"/>
                  <a:shade val="100000"/>
                </a:schemeClr>
              </a:gs>
              <a:gs pos="100000">
                <a:schemeClr val="accent2">
                  <a:shade val="9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5"/>
        <c:spPr>
          <a:gradFill rotWithShape="1">
            <a:gsLst>
              <a:gs pos="0">
                <a:schemeClr val="accent2">
                  <a:shade val="70000"/>
                  <a:satMod val="103000"/>
                  <a:lumMod val="102000"/>
                  <a:tint val="94000"/>
                </a:schemeClr>
              </a:gs>
              <a:gs pos="50000">
                <a:schemeClr val="accent2">
                  <a:shade val="70000"/>
                  <a:satMod val="110000"/>
                  <a:lumMod val="100000"/>
                  <a:shade val="100000"/>
                </a:schemeClr>
              </a:gs>
              <a:gs pos="100000">
                <a:schemeClr val="accent2">
                  <a:shade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6"/>
        <c:spPr>
          <a:gradFill rotWithShape="1">
            <a:gsLst>
              <a:gs pos="0">
                <a:schemeClr val="accent2">
                  <a:shade val="50000"/>
                  <a:satMod val="103000"/>
                  <a:lumMod val="102000"/>
                  <a:tint val="94000"/>
                </a:schemeClr>
              </a:gs>
              <a:gs pos="50000">
                <a:schemeClr val="accent2">
                  <a:shade val="50000"/>
                  <a:satMod val="110000"/>
                  <a:lumMod val="100000"/>
                  <a:shade val="100000"/>
                </a:schemeClr>
              </a:gs>
              <a:gs pos="100000">
                <a:schemeClr val="accent2">
                  <a:shade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70557B"/>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8"/>
        <c:spPr>
          <a:gradFill rotWithShape="1">
            <a:gsLst>
              <a:gs pos="0">
                <a:schemeClr val="accent2">
                  <a:tint val="50000"/>
                  <a:satMod val="103000"/>
                  <a:lumMod val="102000"/>
                  <a:tint val="94000"/>
                </a:schemeClr>
              </a:gs>
              <a:gs pos="50000">
                <a:schemeClr val="accent2">
                  <a:tint val="50000"/>
                  <a:satMod val="110000"/>
                  <a:lumMod val="100000"/>
                  <a:shade val="100000"/>
                </a:schemeClr>
              </a:gs>
              <a:gs pos="100000">
                <a:schemeClr val="accent2">
                  <a:tint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9"/>
        <c:spPr>
          <a:gradFill rotWithShape="1">
            <a:gsLst>
              <a:gs pos="0">
                <a:schemeClr val="accent2">
                  <a:tint val="70000"/>
                  <a:satMod val="103000"/>
                  <a:lumMod val="102000"/>
                  <a:tint val="94000"/>
                </a:schemeClr>
              </a:gs>
              <a:gs pos="50000">
                <a:schemeClr val="accent2">
                  <a:tint val="70000"/>
                  <a:satMod val="110000"/>
                  <a:lumMod val="100000"/>
                  <a:shade val="100000"/>
                </a:schemeClr>
              </a:gs>
              <a:gs pos="100000">
                <a:schemeClr val="accent2">
                  <a:tint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0"/>
        <c:spPr>
          <a:gradFill rotWithShape="1">
            <a:gsLst>
              <a:gs pos="0">
                <a:schemeClr val="accent2">
                  <a:tint val="90000"/>
                  <a:satMod val="103000"/>
                  <a:lumMod val="102000"/>
                  <a:tint val="94000"/>
                </a:schemeClr>
              </a:gs>
              <a:gs pos="50000">
                <a:schemeClr val="accent2">
                  <a:tint val="90000"/>
                  <a:satMod val="110000"/>
                  <a:lumMod val="100000"/>
                  <a:shade val="100000"/>
                </a:schemeClr>
              </a:gs>
              <a:gs pos="100000">
                <a:schemeClr val="accent2">
                  <a:tint val="9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1"/>
        <c:spPr>
          <a:gradFill rotWithShape="1">
            <a:gsLst>
              <a:gs pos="0">
                <a:schemeClr val="accent2">
                  <a:shade val="90000"/>
                  <a:satMod val="103000"/>
                  <a:lumMod val="102000"/>
                  <a:tint val="94000"/>
                </a:schemeClr>
              </a:gs>
              <a:gs pos="50000">
                <a:schemeClr val="accent2">
                  <a:shade val="90000"/>
                  <a:satMod val="110000"/>
                  <a:lumMod val="100000"/>
                  <a:shade val="100000"/>
                </a:schemeClr>
              </a:gs>
              <a:gs pos="100000">
                <a:schemeClr val="accent2">
                  <a:shade val="9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2"/>
        <c:spPr>
          <a:gradFill rotWithShape="1">
            <a:gsLst>
              <a:gs pos="0">
                <a:schemeClr val="accent2">
                  <a:shade val="70000"/>
                  <a:satMod val="103000"/>
                  <a:lumMod val="102000"/>
                  <a:tint val="94000"/>
                </a:schemeClr>
              </a:gs>
              <a:gs pos="50000">
                <a:schemeClr val="accent2">
                  <a:shade val="70000"/>
                  <a:satMod val="110000"/>
                  <a:lumMod val="100000"/>
                  <a:shade val="100000"/>
                </a:schemeClr>
              </a:gs>
              <a:gs pos="100000">
                <a:schemeClr val="accent2">
                  <a:shade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3"/>
        <c:spPr>
          <a:gradFill rotWithShape="1">
            <a:gsLst>
              <a:gs pos="0">
                <a:schemeClr val="accent2">
                  <a:shade val="50000"/>
                  <a:satMod val="103000"/>
                  <a:lumMod val="102000"/>
                  <a:tint val="94000"/>
                </a:schemeClr>
              </a:gs>
              <a:gs pos="50000">
                <a:schemeClr val="accent2">
                  <a:shade val="50000"/>
                  <a:satMod val="110000"/>
                  <a:lumMod val="100000"/>
                  <a:shade val="100000"/>
                </a:schemeClr>
              </a:gs>
              <a:gs pos="100000">
                <a:schemeClr val="accent2">
                  <a:shade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6.9158895460648059E-2"/>
          <c:y val="0"/>
          <c:w val="0.85756135321794458"/>
          <c:h val="1"/>
        </c:manualLayout>
      </c:layout>
      <c:areaChart>
        <c:grouping val="standard"/>
        <c:varyColors val="0"/>
        <c:ser>
          <c:idx val="0"/>
          <c:order val="0"/>
          <c:tx>
            <c:strRef>
              <c:f>Pivot!$C$126</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idx val="0"/>
            <c:bubble3D val="0"/>
            <c:spPr>
              <a:gradFill rotWithShape="1">
                <a:gsLst>
                  <a:gs pos="0">
                    <a:schemeClr val="accent2">
                      <a:tint val="50000"/>
                      <a:satMod val="103000"/>
                      <a:lumMod val="102000"/>
                      <a:tint val="94000"/>
                    </a:schemeClr>
                  </a:gs>
                  <a:gs pos="50000">
                    <a:schemeClr val="accent2">
                      <a:tint val="50000"/>
                      <a:satMod val="110000"/>
                      <a:lumMod val="100000"/>
                      <a:shade val="100000"/>
                    </a:schemeClr>
                  </a:gs>
                  <a:gs pos="100000">
                    <a:schemeClr val="accent2">
                      <a:tint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A9C-4889-8017-CCD634114D7E}"/>
              </c:ext>
            </c:extLst>
          </c:dPt>
          <c:dPt>
            <c:idx val="1"/>
            <c:bubble3D val="0"/>
            <c:spPr>
              <a:gradFill rotWithShape="1">
                <a:gsLst>
                  <a:gs pos="0">
                    <a:schemeClr val="accent2">
                      <a:tint val="70000"/>
                      <a:satMod val="103000"/>
                      <a:lumMod val="102000"/>
                      <a:tint val="94000"/>
                    </a:schemeClr>
                  </a:gs>
                  <a:gs pos="50000">
                    <a:schemeClr val="accent2">
                      <a:tint val="70000"/>
                      <a:satMod val="110000"/>
                      <a:lumMod val="100000"/>
                      <a:shade val="100000"/>
                    </a:schemeClr>
                  </a:gs>
                  <a:gs pos="100000">
                    <a:schemeClr val="accent2">
                      <a:tint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A9C-4889-8017-CCD634114D7E}"/>
              </c:ext>
            </c:extLst>
          </c:dPt>
          <c:dPt>
            <c:idx val="2"/>
            <c:bubble3D val="0"/>
            <c:spPr>
              <a:gradFill rotWithShape="1">
                <a:gsLst>
                  <a:gs pos="0">
                    <a:schemeClr val="accent2">
                      <a:tint val="90000"/>
                      <a:satMod val="103000"/>
                      <a:lumMod val="102000"/>
                      <a:tint val="94000"/>
                    </a:schemeClr>
                  </a:gs>
                  <a:gs pos="50000">
                    <a:schemeClr val="accent2">
                      <a:tint val="90000"/>
                      <a:satMod val="110000"/>
                      <a:lumMod val="100000"/>
                      <a:shade val="100000"/>
                    </a:schemeClr>
                  </a:gs>
                  <a:gs pos="100000">
                    <a:schemeClr val="accent2">
                      <a:tint val="9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A9C-4889-8017-CCD634114D7E}"/>
              </c:ext>
            </c:extLst>
          </c:dPt>
          <c:dPt>
            <c:idx val="3"/>
            <c:bubble3D val="0"/>
            <c:spPr>
              <a:gradFill rotWithShape="1">
                <a:gsLst>
                  <a:gs pos="0">
                    <a:schemeClr val="accent2">
                      <a:shade val="90000"/>
                      <a:satMod val="103000"/>
                      <a:lumMod val="102000"/>
                      <a:tint val="94000"/>
                    </a:schemeClr>
                  </a:gs>
                  <a:gs pos="50000">
                    <a:schemeClr val="accent2">
                      <a:shade val="90000"/>
                      <a:satMod val="110000"/>
                      <a:lumMod val="100000"/>
                      <a:shade val="100000"/>
                    </a:schemeClr>
                  </a:gs>
                  <a:gs pos="100000">
                    <a:schemeClr val="accent2">
                      <a:shade val="9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A9C-4889-8017-CCD634114D7E}"/>
              </c:ext>
            </c:extLst>
          </c:dPt>
          <c:dPt>
            <c:idx val="4"/>
            <c:bubble3D val="0"/>
            <c:spPr>
              <a:gradFill rotWithShape="1">
                <a:gsLst>
                  <a:gs pos="0">
                    <a:schemeClr val="accent2">
                      <a:shade val="70000"/>
                      <a:satMod val="103000"/>
                      <a:lumMod val="102000"/>
                      <a:tint val="94000"/>
                    </a:schemeClr>
                  </a:gs>
                  <a:gs pos="50000">
                    <a:schemeClr val="accent2">
                      <a:shade val="70000"/>
                      <a:satMod val="110000"/>
                      <a:lumMod val="100000"/>
                      <a:shade val="100000"/>
                    </a:schemeClr>
                  </a:gs>
                  <a:gs pos="100000">
                    <a:schemeClr val="accent2">
                      <a:shade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2A9C-4889-8017-CCD634114D7E}"/>
              </c:ext>
            </c:extLst>
          </c:dPt>
          <c:dPt>
            <c:idx val="5"/>
            <c:bubble3D val="0"/>
            <c:spPr>
              <a:gradFill rotWithShape="1">
                <a:gsLst>
                  <a:gs pos="0">
                    <a:schemeClr val="accent2">
                      <a:shade val="50000"/>
                      <a:satMod val="103000"/>
                      <a:lumMod val="102000"/>
                      <a:tint val="94000"/>
                    </a:schemeClr>
                  </a:gs>
                  <a:gs pos="50000">
                    <a:schemeClr val="accent2">
                      <a:shade val="50000"/>
                      <a:satMod val="110000"/>
                      <a:lumMod val="100000"/>
                      <a:shade val="100000"/>
                    </a:schemeClr>
                  </a:gs>
                  <a:gs pos="100000">
                    <a:schemeClr val="accent2">
                      <a:shade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2A9C-4889-8017-CCD634114D7E}"/>
              </c:ext>
            </c:extLst>
          </c:dPt>
          <c:dLbls>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70557B"/>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Pivot!$B$127:$B$132</c:f>
              <c:strCache>
                <c:ptCount val="6"/>
                <c:pt idx="0">
                  <c:v>Adult</c:v>
                </c:pt>
                <c:pt idx="1">
                  <c:v>Child</c:v>
                </c:pt>
                <c:pt idx="2">
                  <c:v>Middle-aged Adult</c:v>
                </c:pt>
                <c:pt idx="3">
                  <c:v>Senior Citizen/Elderly</c:v>
                </c:pt>
                <c:pt idx="4">
                  <c:v>Teenager/Adolescent</c:v>
                </c:pt>
                <c:pt idx="5">
                  <c:v>Young Adult</c:v>
                </c:pt>
              </c:strCache>
            </c:strRef>
          </c:cat>
          <c:val>
            <c:numRef>
              <c:f>Pivot!$C$127:$C$132</c:f>
              <c:numCache>
                <c:formatCode>General</c:formatCode>
                <c:ptCount val="6"/>
                <c:pt idx="0">
                  <c:v>37</c:v>
                </c:pt>
                <c:pt idx="1">
                  <c:v>38</c:v>
                </c:pt>
                <c:pt idx="2">
                  <c:v>33</c:v>
                </c:pt>
                <c:pt idx="3">
                  <c:v>61</c:v>
                </c:pt>
                <c:pt idx="4">
                  <c:v>13</c:v>
                </c:pt>
                <c:pt idx="5">
                  <c:v>18</c:v>
                </c:pt>
              </c:numCache>
            </c:numRef>
          </c:val>
          <c:extLst>
            <c:ext xmlns:c16="http://schemas.microsoft.com/office/drawing/2014/chart" uri="{C3380CC4-5D6E-409C-BE32-E72D297353CC}">
              <c16:uniqueId val="{0000000C-2A9C-4889-8017-CCD634114D7E}"/>
            </c:ext>
          </c:extLst>
        </c:ser>
        <c:dLbls>
          <c:showLegendKey val="0"/>
          <c:showVal val="0"/>
          <c:showCatName val="0"/>
          <c:showSerName val="0"/>
          <c:showPercent val="0"/>
          <c:showBubbleSize val="0"/>
        </c:dLbls>
        <c:axId val="1482011327"/>
        <c:axId val="1482009407"/>
      </c:areaChart>
      <c:catAx>
        <c:axId val="1482011327"/>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crossAx val="1482009407"/>
        <c:crosses val="autoZero"/>
        <c:auto val="1"/>
        <c:lblAlgn val="ctr"/>
        <c:lblOffset val="100"/>
        <c:noMultiLvlLbl val="0"/>
      </c:catAx>
      <c:valAx>
        <c:axId val="1482009407"/>
        <c:scaling>
          <c:orientation val="minMax"/>
        </c:scaling>
        <c:delete val="1"/>
        <c:axPos val="l"/>
        <c:numFmt formatCode="General" sourceLinked="1"/>
        <c:majorTickMark val="out"/>
        <c:minorTickMark val="none"/>
        <c:tickLblPos val="nextTo"/>
        <c:crossAx val="1482011327"/>
        <c:crosses val="autoZero"/>
        <c:crossBetween val="midCat"/>
      </c:valAx>
      <c:spPr>
        <a:noFill/>
        <a:ln>
          <a:noFill/>
        </a:ln>
        <a:effectLst>
          <a:outerShdw blurRad="50800" dist="50800" algn="ctr" rotWithShape="0">
            <a:srgbClr val="000000">
              <a:alpha val="0"/>
            </a:srgbClr>
          </a:outerShdw>
        </a:effectLst>
      </c:spPr>
    </c:plotArea>
    <c:plotVisOnly val="1"/>
    <c:dispBlanksAs val="gap"/>
    <c:showDLblsOverMax val="0"/>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Calibri" panose="020F0502020204030204"/>
          </a:endParaRPr>
        </a:p>
      </cx:txPr>
    </cx:title>
    <cx:plotArea>
      <cx:plotAreaRegion>
        <cx:series layoutId="funnel" uniqueId="{A6A8AE51-FB8E-4CB3-A0B0-C748205CE57A}">
          <cx:tx>
            <cx:txData>
              <cx:f>_xlchart.v2.1</cx:f>
              <cx:v>Average of Recovery Score</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_xlchart.v2.8</cx:f>
      </cx:numDim>
    </cx:data>
  </cx:chartData>
  <cx:chart>
    <cx:title pos="t" align="ctr" overlay="0">
      <cx:tx>
        <cx:rich>
          <a:bodyPr spcFirstLastPara="1" vertOverflow="ellipsis" horzOverflow="overflow" wrap="square" lIns="0" tIns="0" rIns="0" bIns="0" anchor="ctr" anchorCtr="1"/>
          <a:lstStyle/>
          <a:p>
            <a:pPr marL="0" marR="0" indent="0" algn="ctr" rtl="0" eaLnBrk="1" fontAlgn="auto" latinLnBrk="0" hangingPunct="1">
              <a:buNone/>
              <a:defRPr sz="1000"/>
            </a:pPr>
            <a:r>
              <a:rPr lang="en-IN" sz="1000" b="1" i="0" kern="1200" cap="all" spc="120" baseline="0">
                <a:solidFill>
                  <a:srgbClr val="FFFFFF"/>
                </a:solidFill>
                <a:effectLst/>
              </a:rPr>
              <a:t>AVERAGE Recovery score By DOCTOR</a:t>
            </a:r>
            <a:endParaRPr lang="en-IN" sz="1000">
              <a:effectLst/>
            </a:endParaRPr>
          </a:p>
          <a:p>
            <a:pPr marL="0" marR="0" lvl="0" indent="0" algn="ctr" defTabSz="914400" rtl="0" eaLnBrk="1" fontAlgn="auto" latinLnBrk="0" hangingPunct="1">
              <a:lnSpc>
                <a:spcPct val="100000"/>
              </a:lnSpc>
              <a:spcBef>
                <a:spcPts val="0"/>
              </a:spcBef>
              <a:spcAft>
                <a:spcPts val="0"/>
              </a:spcAft>
              <a:buClrTx/>
              <a:buSzTx/>
              <a:buFontTx/>
              <a:buNone/>
              <a:tabLst/>
              <a:defRPr sz="1000"/>
            </a:pPr>
            <a:endParaRPr lang="en-US" sz="1000" b="1" i="0" u="none" strike="noStrike" baseline="0">
              <a:solidFill>
                <a:schemeClr val="bg1"/>
              </a:solidFill>
              <a:latin typeface="Calibri" panose="020F0502020204030204"/>
            </a:endParaRPr>
          </a:p>
        </cx:rich>
      </cx:tx>
    </cx:title>
    <cx:plotArea>
      <cx:plotAreaRegion>
        <cx:series layoutId="funnel" uniqueId="{C92A6510-DFB2-43D1-A571-52CD2F0DD354}">
          <cx:tx>
            <cx:txData>
              <cx:f>_xlchart.v2.7</cx:f>
              <cx:v>Average of Recovery Score</cx:v>
            </cx:txData>
          </cx:tx>
          <cx:spPr>
            <a:solidFill>
              <a:schemeClr val="accent2">
                <a:lumMod val="60000"/>
                <a:lumOff val="40000"/>
              </a:schemeClr>
            </a:solidFill>
          </cx:spPr>
          <cx:dataLabels>
            <cx:spPr>
              <a:solidFill>
                <a:schemeClr val="accent2">
                  <a:lumMod val="75000"/>
                </a:schemeClr>
              </a:solidFill>
            </cx:spPr>
            <cx:txPr>
              <a:bodyPr spcFirstLastPara="1" vertOverflow="ellipsis" horzOverflow="overflow" wrap="square" lIns="0" tIns="0" rIns="0" bIns="0" anchor="ctr" anchorCtr="1"/>
              <a:lstStyle/>
              <a:p>
                <a:pPr algn="ctr" rtl="0">
                  <a:defRPr sz="1000">
                    <a:solidFill>
                      <a:schemeClr val="bg1"/>
                    </a:solidFill>
                  </a:defRPr>
                </a:pPr>
                <a:endParaRPr lang="en-US" sz="1000" b="0" i="0" u="none" strike="noStrike" baseline="0">
                  <a:solidFill>
                    <a:schemeClr val="bg1"/>
                  </a:solidFill>
                  <a:latin typeface="Calibri" panose="020F0502020204030204"/>
                </a:endParaRPr>
              </a:p>
            </cx:txPr>
          </cx:dataLabels>
          <cx:dataId val="0"/>
        </cx:series>
      </cx:plotAreaRegion>
      <cx:axis id="0">
        <cx:catScaling gapWidth="1"/>
        <cx:tickLabels/>
        <cx:txPr>
          <a:bodyPr vertOverflow="overflow" horzOverflow="overflow" wrap="square" lIns="0" tIns="0" rIns="0" bIns="0"/>
          <a:lstStyle/>
          <a:p>
            <a:pPr algn="ctr" rtl="0">
              <a:defRPr sz="900" b="0" i="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IN">
              <a:solidFill>
                <a:schemeClr val="bg1"/>
              </a:solidFill>
            </a:endParaRPr>
          </a:p>
        </cx:txPr>
      </cx:axis>
    </cx:plotArea>
  </cx:chart>
  <cx:spPr>
    <a:solidFill>
      <a:srgbClr val="70557B"/>
    </a:solid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tx>
        <cx:rich>
          <a:bodyPr spcFirstLastPara="1" vertOverflow="ellipsis" horzOverflow="overflow" wrap="square" lIns="0" tIns="0" rIns="0" bIns="0" anchor="ctr" anchorCtr="1"/>
          <a:lstStyle/>
          <a:p>
            <a:pPr marL="0" marR="0" indent="0" algn="ctr" rtl="0" eaLnBrk="1" fontAlgn="auto" latinLnBrk="0" hangingPunct="1">
              <a:buNone/>
            </a:pPr>
            <a:r>
              <a:rPr lang="en-IN" sz="1000" b="1" i="0" kern="1200" cap="all" spc="120" baseline="0">
                <a:solidFill>
                  <a:srgbClr val="FFFFFF"/>
                </a:solidFill>
                <a:effectLst/>
                <a:latin typeface="Calibri" panose="020F0502020204030204" pitchFamily="34" charset="0"/>
                <a:ea typeface="Calibri" panose="020F0502020204030204" pitchFamily="34" charset="0"/>
                <a:cs typeface="Calibri" panose="020F0502020204030204" pitchFamily="34" charset="0"/>
              </a:rPr>
              <a:t>AVERAGE Recovery score By AGE GROUP</a:t>
            </a:r>
            <a:endParaRPr lang="en-IN" sz="1000">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chemeClr val="bg1"/>
                </a:solidFill>
              </a:defRPr>
            </a:pPr>
            <a:endParaRPr lang="en-IN" sz="1000">
              <a:solidFill>
                <a:schemeClr val="bg1"/>
              </a:solidFill>
              <a:effectLst/>
            </a:endParaRPr>
          </a:p>
        </cx:rich>
      </cx:tx>
    </cx:title>
    <cx:plotArea>
      <cx:plotAreaRegion>
        <cx:series layoutId="treemap" uniqueId="{2BEF785F-26A6-45E3-BCD1-8705C40F626F}">
          <cx:tx>
            <cx:txData>
              <cx:f>_xlchart.v1.4</cx:f>
              <cx:v>Average of Recovery Score</cx:v>
            </cx:txData>
          </cx:tx>
          <cx:dataLabels>
            <cx:spPr>
              <a:solidFill>
                <a:srgbClr val="70557B"/>
              </a:solidFill>
            </cx:spPr>
            <cx:txPr>
              <a:bodyPr vertOverflow="overflow" horzOverflow="overflow" wrap="square" lIns="0" tIns="0" rIns="0" bIns="0"/>
              <a:lstStyle/>
              <a:p>
                <a:pPr algn="ctr" rtl="0">
                  <a:defRPr sz="900" b="0" i="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IN" b="0">
                  <a:solidFill>
                    <a:schemeClr val="bg1"/>
                  </a:solidFill>
                </a:endParaRPr>
              </a:p>
            </cx:txPr>
            <cx:visibility seriesName="0" categoryName="1" value="1"/>
            <cx:separator>
</cx:separator>
            <cx:dataLabel idx="4">
              <cx:txPr>
                <a:bodyPr vertOverflow="overflow" horzOverflow="overflow" wrap="square" lIns="0" tIns="0" rIns="0" bIns="0"/>
                <a:lstStyle/>
                <a:p>
                  <a:pPr algn="ctr" rtl="0">
                    <a:defRPr/>
                  </a:pPr>
                  <a:r>
                    <a:rPr lang="en-IN">
                      <a:solidFill>
                        <a:schemeClr val="bg1"/>
                      </a:solidFill>
                    </a:rPr>
                    <a:t>Teenager/Adolescent
67.2</a:t>
                  </a:r>
                </a:p>
              </cx:txPr>
            </cx:dataLabel>
          </cx:dataLabels>
          <cx:dataId val="0"/>
          <cx:layoutPr/>
        </cx:series>
      </cx:plotAreaRegion>
    </cx:plotArea>
  </cx:chart>
  <cx:spPr>
    <a:solidFill>
      <a:srgbClr val="70557B"/>
    </a:solid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withinLinearReversed" id="22">
  <a:schemeClr val="accent2"/>
</cs:colorStyle>
</file>

<file path=xl/charts/colors11.xml><?xml version="1.0" encoding="utf-8"?>
<cs:colorStyle xmlns:cs="http://schemas.microsoft.com/office/drawing/2012/chartStyle" xmlns:a="http://schemas.openxmlformats.org/drawingml/2006/main" meth="withinLinearReversed" id="22">
  <a:schemeClr val="accent2"/>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Reversed" id="22">
  <a:schemeClr val="accent2"/>
</cs:colorStyle>
</file>

<file path=xl/charts/colors14.xml><?xml version="1.0" encoding="utf-8"?>
<cs:colorStyle xmlns:cs="http://schemas.microsoft.com/office/drawing/2012/chartStyle" xmlns:a="http://schemas.openxmlformats.org/drawingml/2006/main" meth="withinLinearReversed" id="22">
  <a:schemeClr val="accent2"/>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0.xml"/><Relationship Id="rId5" Type="http://schemas.openxmlformats.org/officeDocument/2006/relationships/chart" Target="../charts/chart5.xml"/><Relationship Id="rId10" Type="http://schemas.microsoft.com/office/2014/relationships/chartEx" Target="../charts/chartEx1.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image" Target="../media/image7.svg"/><Relationship Id="rId18" Type="http://schemas.openxmlformats.org/officeDocument/2006/relationships/image" Target="../media/image10.png"/><Relationship Id="rId3" Type="http://schemas.openxmlformats.org/officeDocument/2006/relationships/chart" Target="../charts/chart12.xml"/><Relationship Id="rId21" Type="http://schemas.openxmlformats.org/officeDocument/2006/relationships/image" Target="../media/image13.svg"/><Relationship Id="rId7" Type="http://schemas.microsoft.com/office/2014/relationships/chartEx" Target="../charts/chartEx2.xml"/><Relationship Id="rId12" Type="http://schemas.openxmlformats.org/officeDocument/2006/relationships/image" Target="../media/image6.png"/><Relationship Id="rId17" Type="http://schemas.openxmlformats.org/officeDocument/2006/relationships/chart" Target="../charts/chart16.xml"/><Relationship Id="rId25" Type="http://schemas.openxmlformats.org/officeDocument/2006/relationships/image" Target="../media/image17.svg"/><Relationship Id="rId2" Type="http://schemas.openxmlformats.org/officeDocument/2006/relationships/chart" Target="../charts/chart11.xml"/><Relationship Id="rId16" Type="http://schemas.microsoft.com/office/2014/relationships/chartEx" Target="../charts/chartEx3.xml"/><Relationship Id="rId20" Type="http://schemas.openxmlformats.org/officeDocument/2006/relationships/image" Target="../media/image12.png"/><Relationship Id="rId1" Type="http://schemas.openxmlformats.org/officeDocument/2006/relationships/image" Target="../media/image1.jpg"/><Relationship Id="rId6" Type="http://schemas.openxmlformats.org/officeDocument/2006/relationships/chart" Target="../charts/chart15.xml"/><Relationship Id="rId11" Type="http://schemas.openxmlformats.org/officeDocument/2006/relationships/image" Target="../media/image5.svg"/><Relationship Id="rId24" Type="http://schemas.openxmlformats.org/officeDocument/2006/relationships/image" Target="../media/image16.png"/><Relationship Id="rId5" Type="http://schemas.openxmlformats.org/officeDocument/2006/relationships/chart" Target="../charts/chart14.xml"/><Relationship Id="rId15" Type="http://schemas.openxmlformats.org/officeDocument/2006/relationships/image" Target="../media/image9.svg"/><Relationship Id="rId23" Type="http://schemas.openxmlformats.org/officeDocument/2006/relationships/image" Target="../media/image15.svg"/><Relationship Id="rId10" Type="http://schemas.openxmlformats.org/officeDocument/2006/relationships/image" Target="../media/image4.png"/><Relationship Id="rId19" Type="http://schemas.openxmlformats.org/officeDocument/2006/relationships/image" Target="../media/image11.svg"/><Relationship Id="rId4" Type="http://schemas.openxmlformats.org/officeDocument/2006/relationships/chart" Target="../charts/chart13.xml"/><Relationship Id="rId9" Type="http://schemas.openxmlformats.org/officeDocument/2006/relationships/image" Target="../media/image3.svg"/><Relationship Id="rId14" Type="http://schemas.openxmlformats.org/officeDocument/2006/relationships/image" Target="../media/image8.png"/><Relationship Id="rId22"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xdr:from>
      <xdr:col>6</xdr:col>
      <xdr:colOff>358140</xdr:colOff>
      <xdr:row>5</xdr:row>
      <xdr:rowOff>53340</xdr:rowOff>
    </xdr:from>
    <xdr:to>
      <xdr:col>16</xdr:col>
      <xdr:colOff>68580</xdr:colOff>
      <xdr:row>24</xdr:row>
      <xdr:rowOff>22860</xdr:rowOff>
    </xdr:to>
    <xdr:graphicFrame macro="">
      <xdr:nvGraphicFramePr>
        <xdr:cNvPr id="2" name="Chart 1">
          <a:extLst>
            <a:ext uri="{FF2B5EF4-FFF2-40B4-BE49-F238E27FC236}">
              <a16:creationId xmlns:a16="http://schemas.microsoft.com/office/drawing/2014/main" id="{11C36E94-AC99-4C88-8FC0-C50DBACB4A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60960</xdr:colOff>
      <xdr:row>16</xdr:row>
      <xdr:rowOff>106680</xdr:rowOff>
    </xdr:from>
    <xdr:to>
      <xdr:col>6</xdr:col>
      <xdr:colOff>304800</xdr:colOff>
      <xdr:row>28</xdr:row>
      <xdr:rowOff>7620</xdr:rowOff>
    </xdr:to>
    <xdr:graphicFrame macro="">
      <xdr:nvGraphicFramePr>
        <xdr:cNvPr id="3" name="Chart 2">
          <a:extLst>
            <a:ext uri="{FF2B5EF4-FFF2-40B4-BE49-F238E27FC236}">
              <a16:creationId xmlns:a16="http://schemas.microsoft.com/office/drawing/2014/main" id="{2E245B37-445A-4ADC-B577-1924BDB1A3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22860</xdr:colOff>
      <xdr:row>5</xdr:row>
      <xdr:rowOff>60960</xdr:rowOff>
    </xdr:from>
    <xdr:to>
      <xdr:col>6</xdr:col>
      <xdr:colOff>289560</xdr:colOff>
      <xdr:row>16</xdr:row>
      <xdr:rowOff>76200</xdr:rowOff>
    </xdr:to>
    <xdr:graphicFrame macro="">
      <xdr:nvGraphicFramePr>
        <xdr:cNvPr id="4" name="Chart 3">
          <a:extLst>
            <a:ext uri="{FF2B5EF4-FFF2-40B4-BE49-F238E27FC236}">
              <a16:creationId xmlns:a16="http://schemas.microsoft.com/office/drawing/2014/main" id="{A0198F27-384C-4364-A503-10798DB33C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350520</xdr:colOff>
      <xdr:row>24</xdr:row>
      <xdr:rowOff>68580</xdr:rowOff>
    </xdr:from>
    <xdr:to>
      <xdr:col>16</xdr:col>
      <xdr:colOff>60960</xdr:colOff>
      <xdr:row>42</xdr:row>
      <xdr:rowOff>91440</xdr:rowOff>
    </xdr:to>
    <xdr:graphicFrame macro="">
      <xdr:nvGraphicFramePr>
        <xdr:cNvPr id="5" name="Chart 4">
          <a:extLst>
            <a:ext uri="{FF2B5EF4-FFF2-40B4-BE49-F238E27FC236}">
              <a16:creationId xmlns:a16="http://schemas.microsoft.com/office/drawing/2014/main" id="{593EBD6B-207F-422A-9403-FEE6257C61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114300</xdr:colOff>
      <xdr:row>5</xdr:row>
      <xdr:rowOff>68580</xdr:rowOff>
    </xdr:from>
    <xdr:to>
      <xdr:col>22</xdr:col>
      <xdr:colOff>320040</xdr:colOff>
      <xdr:row>15</xdr:row>
      <xdr:rowOff>121920</xdr:rowOff>
    </xdr:to>
    <xdr:graphicFrame macro="">
      <xdr:nvGraphicFramePr>
        <xdr:cNvPr id="6" name="Chart 5">
          <a:extLst>
            <a:ext uri="{FF2B5EF4-FFF2-40B4-BE49-F238E27FC236}">
              <a16:creationId xmlns:a16="http://schemas.microsoft.com/office/drawing/2014/main" id="{1932F4DC-5B66-4588-8916-6E654AB2A0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121920</xdr:colOff>
      <xdr:row>15</xdr:row>
      <xdr:rowOff>175260</xdr:rowOff>
    </xdr:from>
    <xdr:to>
      <xdr:col>22</xdr:col>
      <xdr:colOff>335280</xdr:colOff>
      <xdr:row>27</xdr:row>
      <xdr:rowOff>76200</xdr:rowOff>
    </xdr:to>
    <xdr:graphicFrame macro="">
      <xdr:nvGraphicFramePr>
        <xdr:cNvPr id="7" name="Chart 6">
          <a:extLst>
            <a:ext uri="{FF2B5EF4-FFF2-40B4-BE49-F238E27FC236}">
              <a16:creationId xmlns:a16="http://schemas.microsoft.com/office/drawing/2014/main" id="{A1FC5188-555E-4843-B91F-0F9182B56F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68580</xdr:colOff>
      <xdr:row>28</xdr:row>
      <xdr:rowOff>53340</xdr:rowOff>
    </xdr:from>
    <xdr:to>
      <xdr:col>6</xdr:col>
      <xdr:colOff>289560</xdr:colOff>
      <xdr:row>42</xdr:row>
      <xdr:rowOff>175260</xdr:rowOff>
    </xdr:to>
    <xdr:graphicFrame macro="">
      <xdr:nvGraphicFramePr>
        <xdr:cNvPr id="8" name="Chart 7">
          <a:extLst>
            <a:ext uri="{FF2B5EF4-FFF2-40B4-BE49-F238E27FC236}">
              <a16:creationId xmlns:a16="http://schemas.microsoft.com/office/drawing/2014/main" id="{9A168003-24E0-4518-AE50-AA0FB997BB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121920</xdr:colOff>
      <xdr:row>27</xdr:row>
      <xdr:rowOff>114300</xdr:rowOff>
    </xdr:from>
    <xdr:to>
      <xdr:col>22</xdr:col>
      <xdr:colOff>335280</xdr:colOff>
      <xdr:row>42</xdr:row>
      <xdr:rowOff>60960</xdr:rowOff>
    </xdr:to>
    <xdr:graphicFrame macro="">
      <xdr:nvGraphicFramePr>
        <xdr:cNvPr id="9" name="Chart 8">
          <a:extLst>
            <a:ext uri="{FF2B5EF4-FFF2-40B4-BE49-F238E27FC236}">
              <a16:creationId xmlns:a16="http://schemas.microsoft.com/office/drawing/2014/main" id="{18EBF64D-B785-428A-9519-6759A8685E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106680</xdr:colOff>
      <xdr:row>43</xdr:row>
      <xdr:rowOff>53340</xdr:rowOff>
    </xdr:from>
    <xdr:to>
      <xdr:col>8</xdr:col>
      <xdr:colOff>472440</xdr:colOff>
      <xdr:row>58</xdr:row>
      <xdr:rowOff>53340</xdr:rowOff>
    </xdr:to>
    <xdr:graphicFrame macro="">
      <xdr:nvGraphicFramePr>
        <xdr:cNvPr id="10" name="Chart 9">
          <a:extLst>
            <a:ext uri="{FF2B5EF4-FFF2-40B4-BE49-F238E27FC236}">
              <a16:creationId xmlns:a16="http://schemas.microsoft.com/office/drawing/2014/main" id="{145932C9-2F52-43B2-94F4-A624CD5F06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14</xdr:col>
      <xdr:colOff>144780</xdr:colOff>
      <xdr:row>60</xdr:row>
      <xdr:rowOff>60961</xdr:rowOff>
    </xdr:from>
    <xdr:to>
      <xdr:col>20</xdr:col>
      <xdr:colOff>441960</xdr:colOff>
      <xdr:row>65</xdr:row>
      <xdr:rowOff>60960</xdr:rowOff>
    </xdr:to>
    <mc:AlternateContent xmlns:mc="http://schemas.openxmlformats.org/markup-compatibility/2006" xmlns:a14="http://schemas.microsoft.com/office/drawing/2010/main">
      <mc:Choice Requires="a14">
        <xdr:graphicFrame macro="">
          <xdr:nvGraphicFramePr>
            <xdr:cNvPr id="11" name="Gender">
              <a:extLst>
                <a:ext uri="{FF2B5EF4-FFF2-40B4-BE49-F238E27FC236}">
                  <a16:creationId xmlns:a16="http://schemas.microsoft.com/office/drawing/2014/main" id="{3592F947-F8F7-1137-1B08-7D300A23F03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679180" y="11033761"/>
              <a:ext cx="3954780" cy="914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594360</xdr:colOff>
      <xdr:row>61</xdr:row>
      <xdr:rowOff>68580</xdr:rowOff>
    </xdr:from>
    <xdr:to>
      <xdr:col>12</xdr:col>
      <xdr:colOff>594360</xdr:colOff>
      <xdr:row>74</xdr:row>
      <xdr:rowOff>158115</xdr:rowOff>
    </xdr:to>
    <mc:AlternateContent xmlns:mc="http://schemas.openxmlformats.org/markup-compatibility/2006" xmlns:a14="http://schemas.microsoft.com/office/drawing/2010/main">
      <mc:Choice Requires="a14">
        <xdr:graphicFrame macro="">
          <xdr:nvGraphicFramePr>
            <xdr:cNvPr id="12" name="Department">
              <a:extLst>
                <a:ext uri="{FF2B5EF4-FFF2-40B4-BE49-F238E27FC236}">
                  <a16:creationId xmlns:a16="http://schemas.microsoft.com/office/drawing/2014/main" id="{958B81F7-935B-2EDA-C47B-6BD379E536A3}"/>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6080760" y="112242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411480</xdr:colOff>
      <xdr:row>45</xdr:row>
      <xdr:rowOff>45720</xdr:rowOff>
    </xdr:from>
    <xdr:to>
      <xdr:col>18</xdr:col>
      <xdr:colOff>411480</xdr:colOff>
      <xdr:row>58</xdr:row>
      <xdr:rowOff>135255</xdr:rowOff>
    </xdr:to>
    <mc:AlternateContent xmlns:mc="http://schemas.openxmlformats.org/markup-compatibility/2006" xmlns:a14="http://schemas.microsoft.com/office/drawing/2010/main">
      <mc:Choice Requires="a14">
        <xdr:graphicFrame macro="">
          <xdr:nvGraphicFramePr>
            <xdr:cNvPr id="13" name="Treatment Type">
              <a:extLst>
                <a:ext uri="{FF2B5EF4-FFF2-40B4-BE49-F238E27FC236}">
                  <a16:creationId xmlns:a16="http://schemas.microsoft.com/office/drawing/2014/main" id="{0C2A10F0-F229-017D-E091-77CFD7899F85}"/>
                </a:ext>
              </a:extLst>
            </xdr:cNvPr>
            <xdr:cNvGraphicFramePr/>
          </xdr:nvGraphicFramePr>
          <xdr:xfrm>
            <a:off x="0" y="0"/>
            <a:ext cx="0" cy="0"/>
          </xdr:xfrm>
          <a:graphic>
            <a:graphicData uri="http://schemas.microsoft.com/office/drawing/2010/slicer">
              <sle:slicer xmlns:sle="http://schemas.microsoft.com/office/drawing/2010/slicer" name="Treatment Type"/>
            </a:graphicData>
          </a:graphic>
        </xdr:graphicFrame>
      </mc:Choice>
      <mc:Fallback xmlns="">
        <xdr:sp macro="" textlink="">
          <xdr:nvSpPr>
            <xdr:cNvPr id="0" name=""/>
            <xdr:cNvSpPr>
              <a:spLocks noTextEdit="1"/>
            </xdr:cNvSpPr>
          </xdr:nvSpPr>
          <xdr:spPr>
            <a:xfrm>
              <a:off x="9555480" y="82753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472440</xdr:colOff>
      <xdr:row>45</xdr:row>
      <xdr:rowOff>60960</xdr:rowOff>
    </xdr:from>
    <xdr:to>
      <xdr:col>21</xdr:col>
      <xdr:colOff>472440</xdr:colOff>
      <xdr:row>58</xdr:row>
      <xdr:rowOff>150495</xdr:rowOff>
    </xdr:to>
    <mc:AlternateContent xmlns:mc="http://schemas.openxmlformats.org/markup-compatibility/2006" xmlns:a14="http://schemas.microsoft.com/office/drawing/2010/main">
      <mc:Choice Requires="a14">
        <xdr:graphicFrame macro="">
          <xdr:nvGraphicFramePr>
            <xdr:cNvPr id="14" name="Doctor Name">
              <a:extLst>
                <a:ext uri="{FF2B5EF4-FFF2-40B4-BE49-F238E27FC236}">
                  <a16:creationId xmlns:a16="http://schemas.microsoft.com/office/drawing/2014/main" id="{458583D8-B935-BDDE-ACCC-0D8ABA091787}"/>
                </a:ext>
              </a:extLst>
            </xdr:cNvPr>
            <xdr:cNvGraphicFramePr/>
          </xdr:nvGraphicFramePr>
          <xdr:xfrm>
            <a:off x="0" y="0"/>
            <a:ext cx="0" cy="0"/>
          </xdr:xfrm>
          <a:graphic>
            <a:graphicData uri="http://schemas.microsoft.com/office/drawing/2010/slicer">
              <sle:slicer xmlns:sle="http://schemas.microsoft.com/office/drawing/2010/slicer" name="Doctor Name"/>
            </a:graphicData>
          </a:graphic>
        </xdr:graphicFrame>
      </mc:Choice>
      <mc:Fallback xmlns="">
        <xdr:sp macro="" textlink="">
          <xdr:nvSpPr>
            <xdr:cNvPr id="0" name=""/>
            <xdr:cNvSpPr>
              <a:spLocks noTextEdit="1"/>
            </xdr:cNvSpPr>
          </xdr:nvSpPr>
          <xdr:spPr>
            <a:xfrm>
              <a:off x="11445240" y="82905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190500</xdr:colOff>
      <xdr:row>59</xdr:row>
      <xdr:rowOff>45720</xdr:rowOff>
    </xdr:from>
    <xdr:to>
      <xdr:col>8</xdr:col>
      <xdr:colOff>495300</xdr:colOff>
      <xdr:row>74</xdr:row>
      <xdr:rowOff>45720</xdr:rowOff>
    </xdr:to>
    <mc:AlternateContent xmlns:mc="http://schemas.openxmlformats.org/markup-compatibility/2006">
      <mc:Choice xmlns:cx2="http://schemas.microsoft.com/office/drawing/2015/10/21/chartex" Requires="cx2">
        <xdr:graphicFrame macro="">
          <xdr:nvGraphicFramePr>
            <xdr:cNvPr id="15" name="Chart 14">
              <a:extLst>
                <a:ext uri="{FF2B5EF4-FFF2-40B4-BE49-F238E27FC236}">
                  <a16:creationId xmlns:a16="http://schemas.microsoft.com/office/drawing/2014/main" id="{5801CD68-5B62-456D-9C18-E65878E1730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800100" y="1083564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243840</xdr:colOff>
      <xdr:row>48</xdr:row>
      <xdr:rowOff>30480</xdr:rowOff>
    </xdr:from>
    <xdr:to>
      <xdr:col>15</xdr:col>
      <xdr:colOff>7620</xdr:colOff>
      <xdr:row>58</xdr:row>
      <xdr:rowOff>87630</xdr:rowOff>
    </xdr:to>
    <xdr:graphicFrame macro="">
      <xdr:nvGraphicFramePr>
        <xdr:cNvPr id="17" name="Chart 16">
          <a:extLst>
            <a:ext uri="{FF2B5EF4-FFF2-40B4-BE49-F238E27FC236}">
              <a16:creationId xmlns:a16="http://schemas.microsoft.com/office/drawing/2014/main" id="{789ECD70-3163-45DD-B33F-0312F104F2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15</xdr:col>
      <xdr:colOff>0</xdr:colOff>
      <xdr:row>72</xdr:row>
      <xdr:rowOff>0</xdr:rowOff>
    </xdr:from>
    <xdr:to>
      <xdr:col>17</xdr:col>
      <xdr:colOff>571500</xdr:colOff>
      <xdr:row>81</xdr:row>
      <xdr:rowOff>83819</xdr:rowOff>
    </xdr:to>
    <mc:AlternateContent xmlns:mc="http://schemas.openxmlformats.org/markup-compatibility/2006" xmlns:a14="http://schemas.microsoft.com/office/drawing/2010/main">
      <mc:Choice Requires="a14">
        <xdr:graphicFrame macro="">
          <xdr:nvGraphicFramePr>
            <xdr:cNvPr id="18" name="Age Group">
              <a:extLst>
                <a:ext uri="{FF2B5EF4-FFF2-40B4-BE49-F238E27FC236}">
                  <a16:creationId xmlns:a16="http://schemas.microsoft.com/office/drawing/2014/main" id="{0E06B684-9675-4D2E-BD83-01E32A7466AA}"/>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9144000" y="13167360"/>
              <a:ext cx="1790700" cy="17297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25</xdr:col>
      <xdr:colOff>198120</xdr:colOff>
      <xdr:row>49</xdr:row>
      <xdr:rowOff>121920</xdr:rowOff>
    </xdr:to>
    <xdr:pic>
      <xdr:nvPicPr>
        <xdr:cNvPr id="11" name="Picture 10">
          <a:extLst>
            <a:ext uri="{FF2B5EF4-FFF2-40B4-BE49-F238E27FC236}">
              <a16:creationId xmlns:a16="http://schemas.microsoft.com/office/drawing/2014/main" id="{DC00C45F-6E51-FA44-DAEB-E42A4CF291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5438120" cy="9083040"/>
        </a:xfrm>
        <a:prstGeom prst="rect">
          <a:avLst/>
        </a:prstGeom>
      </xdr:spPr>
    </xdr:pic>
    <xdr:clientData/>
  </xdr:twoCellAnchor>
  <xdr:twoCellAnchor>
    <xdr:from>
      <xdr:col>0</xdr:col>
      <xdr:colOff>251460</xdr:colOff>
      <xdr:row>1</xdr:row>
      <xdr:rowOff>68580</xdr:rowOff>
    </xdr:from>
    <xdr:to>
      <xdr:col>22</xdr:col>
      <xdr:colOff>586740</xdr:colOff>
      <xdr:row>48</xdr:row>
      <xdr:rowOff>38100</xdr:rowOff>
    </xdr:to>
    <xdr:sp macro="" textlink="">
      <xdr:nvSpPr>
        <xdr:cNvPr id="12" name="Rectangle 11">
          <a:extLst>
            <a:ext uri="{FF2B5EF4-FFF2-40B4-BE49-F238E27FC236}">
              <a16:creationId xmlns:a16="http://schemas.microsoft.com/office/drawing/2014/main" id="{8DE878DA-8399-EA9C-0E7E-7981F8C7A391}"/>
            </a:ext>
          </a:extLst>
        </xdr:cNvPr>
        <xdr:cNvSpPr/>
      </xdr:nvSpPr>
      <xdr:spPr>
        <a:xfrm>
          <a:off x="251460" y="251460"/>
          <a:ext cx="13746480" cy="8564880"/>
        </a:xfrm>
        <a:prstGeom prst="rect">
          <a:avLst/>
        </a:prstGeom>
        <a:solidFill>
          <a:srgbClr val="70557B">
            <a:alpha val="30000"/>
          </a:srgbClr>
        </a:solidFill>
        <a:ln>
          <a:noFill/>
        </a:ln>
        <a:effectLst>
          <a:outerShdw blurRad="50800" dist="50800" dir="5400000" algn="ctr" rotWithShape="0">
            <a:srgbClr val="000000"/>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480060</xdr:colOff>
      <xdr:row>2</xdr:row>
      <xdr:rowOff>7620</xdr:rowOff>
    </xdr:from>
    <xdr:to>
      <xdr:col>14</xdr:col>
      <xdr:colOff>358140</xdr:colOff>
      <xdr:row>14</xdr:row>
      <xdr:rowOff>0</xdr:rowOff>
    </xdr:to>
    <xdr:sp macro="" textlink="">
      <xdr:nvSpPr>
        <xdr:cNvPr id="13" name="Rectangle 12">
          <a:extLst>
            <a:ext uri="{FF2B5EF4-FFF2-40B4-BE49-F238E27FC236}">
              <a16:creationId xmlns:a16="http://schemas.microsoft.com/office/drawing/2014/main" id="{BA9C68B8-244B-DD0B-D715-7C0216FAE22B}"/>
            </a:ext>
          </a:extLst>
        </xdr:cNvPr>
        <xdr:cNvSpPr/>
      </xdr:nvSpPr>
      <xdr:spPr>
        <a:xfrm>
          <a:off x="5356860" y="373380"/>
          <a:ext cx="3535680" cy="2186940"/>
        </a:xfrm>
        <a:prstGeom prst="rect">
          <a:avLst/>
        </a:prstGeom>
        <a:solidFill>
          <a:srgbClr val="70557B">
            <a:alpha val="73000"/>
          </a:srgb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400" b="1">
              <a:solidFill>
                <a:schemeClr val="bg1"/>
              </a:solidFill>
              <a:latin typeface="Calibri" panose="020F0502020204030204" pitchFamily="34" charset="0"/>
              <a:ea typeface="Calibri" panose="020F0502020204030204" pitchFamily="34" charset="0"/>
              <a:cs typeface="Calibri" panose="020F0502020204030204" pitchFamily="34" charset="0"/>
            </a:rPr>
            <a:t>PATIENT</a:t>
          </a:r>
          <a:r>
            <a:rPr lang="en-IN" sz="1400" b="1" baseline="0">
              <a:solidFill>
                <a:schemeClr val="bg1"/>
              </a:solidFill>
              <a:latin typeface="Calibri" panose="020F0502020204030204" pitchFamily="34" charset="0"/>
              <a:ea typeface="Calibri" panose="020F0502020204030204" pitchFamily="34" charset="0"/>
              <a:cs typeface="Calibri" panose="020F0502020204030204" pitchFamily="34" charset="0"/>
            </a:rPr>
            <a:t> RECOVERY ANALYSIS REPORT</a:t>
          </a:r>
          <a:endParaRPr lang="en-IN" sz="14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14</xdr:col>
      <xdr:colOff>403860</xdr:colOff>
      <xdr:row>2</xdr:row>
      <xdr:rowOff>7620</xdr:rowOff>
    </xdr:from>
    <xdr:to>
      <xdr:col>22</xdr:col>
      <xdr:colOff>480060</xdr:colOff>
      <xdr:row>13</xdr:row>
      <xdr:rowOff>175260</xdr:rowOff>
    </xdr:to>
    <xdr:sp macro="" textlink="">
      <xdr:nvSpPr>
        <xdr:cNvPr id="14" name="Rectangle 13">
          <a:extLst>
            <a:ext uri="{FF2B5EF4-FFF2-40B4-BE49-F238E27FC236}">
              <a16:creationId xmlns:a16="http://schemas.microsoft.com/office/drawing/2014/main" id="{82F46990-CD37-4839-89BE-671772506EC4}"/>
            </a:ext>
          </a:extLst>
        </xdr:cNvPr>
        <xdr:cNvSpPr/>
      </xdr:nvSpPr>
      <xdr:spPr>
        <a:xfrm>
          <a:off x="8938260" y="373380"/>
          <a:ext cx="4953000" cy="2179320"/>
        </a:xfrm>
        <a:prstGeom prst="rect">
          <a:avLst/>
        </a:prstGeom>
        <a:solidFill>
          <a:srgbClr val="70557B">
            <a:alpha val="52000"/>
          </a:srgb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IN" sz="1100">
            <a:solidFill>
              <a:schemeClr val="bg1"/>
            </a:solidFill>
          </a:endParaRPr>
        </a:p>
      </xdr:txBody>
    </xdr:sp>
    <xdr:clientData/>
  </xdr:twoCellAnchor>
  <xdr:twoCellAnchor>
    <xdr:from>
      <xdr:col>8</xdr:col>
      <xdr:colOff>525780</xdr:colOff>
      <xdr:row>12</xdr:row>
      <xdr:rowOff>15240</xdr:rowOff>
    </xdr:from>
    <xdr:to>
      <xdr:col>14</xdr:col>
      <xdr:colOff>236220</xdr:colOff>
      <xdr:row>13</xdr:row>
      <xdr:rowOff>137160</xdr:rowOff>
    </xdr:to>
    <xdr:sp macro="" textlink="">
      <xdr:nvSpPr>
        <xdr:cNvPr id="16" name="TextBox 15">
          <a:extLst>
            <a:ext uri="{FF2B5EF4-FFF2-40B4-BE49-F238E27FC236}">
              <a16:creationId xmlns:a16="http://schemas.microsoft.com/office/drawing/2014/main" id="{F3F9A6D7-1E53-9B01-0531-B50E067FE2EF}"/>
            </a:ext>
          </a:extLst>
        </xdr:cNvPr>
        <xdr:cNvSpPr txBox="1"/>
      </xdr:nvSpPr>
      <xdr:spPr>
        <a:xfrm>
          <a:off x="5402580" y="2209800"/>
          <a:ext cx="3368040" cy="304800"/>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100" b="1">
              <a:solidFill>
                <a:srgbClr val="70557B"/>
              </a:solidFill>
              <a:latin typeface="+mn-lt"/>
            </a:rPr>
            <a:t>TOTAL PATIENTS IN</a:t>
          </a:r>
          <a:r>
            <a:rPr lang="en-IN" sz="1100" b="1" baseline="0">
              <a:solidFill>
                <a:srgbClr val="70557B"/>
              </a:solidFill>
              <a:latin typeface="+mn-lt"/>
            </a:rPr>
            <a:t> THE FACILITY</a:t>
          </a:r>
          <a:r>
            <a:rPr lang="en-IN" sz="1100" b="1">
              <a:solidFill>
                <a:srgbClr val="70557B"/>
              </a:solidFill>
              <a:latin typeface="+mn-lt"/>
            </a:rPr>
            <a:t>:</a:t>
          </a:r>
        </a:p>
      </xdr:txBody>
    </xdr:sp>
    <xdr:clientData/>
  </xdr:twoCellAnchor>
  <xdr:twoCellAnchor>
    <xdr:from>
      <xdr:col>12</xdr:col>
      <xdr:colOff>236220</xdr:colOff>
      <xdr:row>12</xdr:row>
      <xdr:rowOff>38100</xdr:rowOff>
    </xdr:from>
    <xdr:to>
      <xdr:col>14</xdr:col>
      <xdr:colOff>144780</xdr:colOff>
      <xdr:row>13</xdr:row>
      <xdr:rowOff>129540</xdr:rowOff>
    </xdr:to>
    <xdr:sp macro="" textlink="Total_Patients">
      <xdr:nvSpPr>
        <xdr:cNvPr id="17" name="TextBox 16">
          <a:extLst>
            <a:ext uri="{FF2B5EF4-FFF2-40B4-BE49-F238E27FC236}">
              <a16:creationId xmlns:a16="http://schemas.microsoft.com/office/drawing/2014/main" id="{9824E3C7-C0AB-4B78-80D4-FF25677E7F42}"/>
            </a:ext>
          </a:extLst>
        </xdr:cNvPr>
        <xdr:cNvSpPr txBox="1"/>
      </xdr:nvSpPr>
      <xdr:spPr>
        <a:xfrm>
          <a:off x="7551420" y="2232660"/>
          <a:ext cx="1127760" cy="274320"/>
        </a:xfrm>
        <a:prstGeom prst="rect">
          <a:avLst/>
        </a:prstGeom>
        <a:solidFill>
          <a:srgbClr val="70557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DFFE401-33BE-4992-8524-D720581624CC}" type="TxLink">
            <a:rPr lang="en-US" sz="1100" b="0" i="0" u="none" strike="noStrike">
              <a:solidFill>
                <a:schemeClr val="bg1"/>
              </a:solidFill>
              <a:latin typeface="Britannic Bold" panose="020B0903060703020204" pitchFamily="34" charset="0"/>
              <a:ea typeface="Calibri"/>
              <a:cs typeface="Calibri"/>
            </a:rPr>
            <a:pPr algn="ctr"/>
            <a:t>200</a:t>
          </a:fld>
          <a:endParaRPr lang="en-IN" sz="1100">
            <a:solidFill>
              <a:schemeClr val="bg1"/>
            </a:solidFill>
            <a:latin typeface="Britannic Bold" panose="020B0903060703020204" pitchFamily="34" charset="0"/>
          </a:endParaRPr>
        </a:p>
      </xdr:txBody>
    </xdr:sp>
    <xdr:clientData/>
  </xdr:twoCellAnchor>
  <xdr:twoCellAnchor>
    <xdr:from>
      <xdr:col>0</xdr:col>
      <xdr:colOff>396240</xdr:colOff>
      <xdr:row>2</xdr:row>
      <xdr:rowOff>7620</xdr:rowOff>
    </xdr:from>
    <xdr:to>
      <xdr:col>8</xdr:col>
      <xdr:colOff>434340</xdr:colOff>
      <xdr:row>13</xdr:row>
      <xdr:rowOff>175260</xdr:rowOff>
    </xdr:to>
    <xdr:sp macro="" textlink="">
      <xdr:nvSpPr>
        <xdr:cNvPr id="18" name="Rectangle 17">
          <a:extLst>
            <a:ext uri="{FF2B5EF4-FFF2-40B4-BE49-F238E27FC236}">
              <a16:creationId xmlns:a16="http://schemas.microsoft.com/office/drawing/2014/main" id="{6BFAFFDB-D1EC-499A-A6BD-E2373FB550B0}"/>
            </a:ext>
          </a:extLst>
        </xdr:cNvPr>
        <xdr:cNvSpPr/>
      </xdr:nvSpPr>
      <xdr:spPr>
        <a:xfrm>
          <a:off x="396240" y="373380"/>
          <a:ext cx="4914900" cy="2179320"/>
        </a:xfrm>
        <a:prstGeom prst="rect">
          <a:avLst/>
        </a:prstGeom>
        <a:solidFill>
          <a:srgbClr val="70557B">
            <a:alpha val="52000"/>
          </a:srgb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396240</xdr:colOff>
      <xdr:row>19</xdr:row>
      <xdr:rowOff>30480</xdr:rowOff>
    </xdr:from>
    <xdr:to>
      <xdr:col>22</xdr:col>
      <xdr:colOff>487680</xdr:colOff>
      <xdr:row>47</xdr:row>
      <xdr:rowOff>15240</xdr:rowOff>
    </xdr:to>
    <xdr:sp macro="" textlink="">
      <xdr:nvSpPr>
        <xdr:cNvPr id="19" name="Rectangle 18">
          <a:extLst>
            <a:ext uri="{FF2B5EF4-FFF2-40B4-BE49-F238E27FC236}">
              <a16:creationId xmlns:a16="http://schemas.microsoft.com/office/drawing/2014/main" id="{49B421C3-699A-4348-B400-A0B1160C0D6A}"/>
            </a:ext>
          </a:extLst>
        </xdr:cNvPr>
        <xdr:cNvSpPr/>
      </xdr:nvSpPr>
      <xdr:spPr>
        <a:xfrm>
          <a:off x="396240" y="3505200"/>
          <a:ext cx="13502640" cy="5105400"/>
        </a:xfrm>
        <a:prstGeom prst="rect">
          <a:avLst/>
        </a:prstGeom>
        <a:solidFill>
          <a:srgbClr val="70557B">
            <a:alpha val="52000"/>
          </a:srgb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518160</xdr:colOff>
      <xdr:row>19</xdr:row>
      <xdr:rowOff>106680</xdr:rowOff>
    </xdr:from>
    <xdr:to>
      <xdr:col>16</xdr:col>
      <xdr:colOff>510540</xdr:colOff>
      <xdr:row>33</xdr:row>
      <xdr:rowOff>0</xdr:rowOff>
    </xdr:to>
    <xdr:graphicFrame macro="">
      <xdr:nvGraphicFramePr>
        <xdr:cNvPr id="20" name="Chart 19">
          <a:extLst>
            <a:ext uri="{FF2B5EF4-FFF2-40B4-BE49-F238E27FC236}">
              <a16:creationId xmlns:a16="http://schemas.microsoft.com/office/drawing/2014/main" id="{7323B48D-FA4F-4F63-BCD4-6BE15E1909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480060</xdr:colOff>
      <xdr:row>19</xdr:row>
      <xdr:rowOff>99060</xdr:rowOff>
    </xdr:from>
    <xdr:to>
      <xdr:col>6</xdr:col>
      <xdr:colOff>457200</xdr:colOff>
      <xdr:row>33</xdr:row>
      <xdr:rowOff>0</xdr:rowOff>
    </xdr:to>
    <xdr:graphicFrame macro="">
      <xdr:nvGraphicFramePr>
        <xdr:cNvPr id="24" name="Chart 23">
          <a:extLst>
            <a:ext uri="{FF2B5EF4-FFF2-40B4-BE49-F238E27FC236}">
              <a16:creationId xmlns:a16="http://schemas.microsoft.com/office/drawing/2014/main" id="{F420386E-92BF-479B-B3DA-B39CF03F25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556260</xdr:colOff>
      <xdr:row>19</xdr:row>
      <xdr:rowOff>121920</xdr:rowOff>
    </xdr:from>
    <xdr:to>
      <xdr:col>22</xdr:col>
      <xdr:colOff>350520</xdr:colOff>
      <xdr:row>33</xdr:row>
      <xdr:rowOff>15240</xdr:rowOff>
    </xdr:to>
    <xdr:graphicFrame macro="">
      <xdr:nvGraphicFramePr>
        <xdr:cNvPr id="25" name="Chart 24">
          <a:extLst>
            <a:ext uri="{FF2B5EF4-FFF2-40B4-BE49-F238E27FC236}">
              <a16:creationId xmlns:a16="http://schemas.microsoft.com/office/drawing/2014/main" id="{5F734BEE-226A-48B0-B75B-F907A138AC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495300</xdr:colOff>
      <xdr:row>33</xdr:row>
      <xdr:rowOff>53340</xdr:rowOff>
    </xdr:from>
    <xdr:to>
      <xdr:col>11</xdr:col>
      <xdr:colOff>586740</xdr:colOff>
      <xdr:row>46</xdr:row>
      <xdr:rowOff>137160</xdr:rowOff>
    </xdr:to>
    <xdr:graphicFrame macro="">
      <xdr:nvGraphicFramePr>
        <xdr:cNvPr id="28" name="Chart 27">
          <a:extLst>
            <a:ext uri="{FF2B5EF4-FFF2-40B4-BE49-F238E27FC236}">
              <a16:creationId xmlns:a16="http://schemas.microsoft.com/office/drawing/2014/main" id="{4FD3CF7C-87BD-4057-BE89-C31DD5545D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563880</xdr:colOff>
      <xdr:row>33</xdr:row>
      <xdr:rowOff>68580</xdr:rowOff>
    </xdr:from>
    <xdr:to>
      <xdr:col>22</xdr:col>
      <xdr:colOff>320040</xdr:colOff>
      <xdr:row>46</xdr:row>
      <xdr:rowOff>114300</xdr:rowOff>
    </xdr:to>
    <xdr:graphicFrame macro="">
      <xdr:nvGraphicFramePr>
        <xdr:cNvPr id="31" name="Chart 30">
          <a:extLst>
            <a:ext uri="{FF2B5EF4-FFF2-40B4-BE49-F238E27FC236}">
              <a16:creationId xmlns:a16="http://schemas.microsoft.com/office/drawing/2014/main" id="{A98DDC2F-C803-4213-8661-5D91A70F00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22860</xdr:colOff>
      <xdr:row>33</xdr:row>
      <xdr:rowOff>45720</xdr:rowOff>
    </xdr:from>
    <xdr:to>
      <xdr:col>16</xdr:col>
      <xdr:colOff>495300</xdr:colOff>
      <xdr:row>46</xdr:row>
      <xdr:rowOff>137160</xdr:rowOff>
    </xdr:to>
    <mc:AlternateContent xmlns:mc="http://schemas.openxmlformats.org/markup-compatibility/2006">
      <mc:Choice xmlns:cx2="http://schemas.microsoft.com/office/drawing/2015/10/21/chartex" Requires="cx2">
        <xdr:graphicFrame macro="">
          <xdr:nvGraphicFramePr>
            <xdr:cNvPr id="35" name="Chart 34">
              <a:extLst>
                <a:ext uri="{FF2B5EF4-FFF2-40B4-BE49-F238E27FC236}">
                  <a16:creationId xmlns:a16="http://schemas.microsoft.com/office/drawing/2014/main" id="{FD278AE5-0FB2-493A-B33B-F7196C7586D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7338060" y="6080760"/>
              <a:ext cx="2910840" cy="24688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541020</xdr:colOff>
      <xdr:row>2</xdr:row>
      <xdr:rowOff>129540</xdr:rowOff>
    </xdr:from>
    <xdr:to>
      <xdr:col>4</xdr:col>
      <xdr:colOff>327660</xdr:colOff>
      <xdr:row>13</xdr:row>
      <xdr:rowOff>22860</xdr:rowOff>
    </xdr:to>
    <xdr:sp macro="" textlink="">
      <xdr:nvSpPr>
        <xdr:cNvPr id="36" name="Rectangle 35">
          <a:extLst>
            <a:ext uri="{FF2B5EF4-FFF2-40B4-BE49-F238E27FC236}">
              <a16:creationId xmlns:a16="http://schemas.microsoft.com/office/drawing/2014/main" id="{1AE8DABF-80E9-4E22-9E40-0BACAC996C71}"/>
            </a:ext>
          </a:extLst>
        </xdr:cNvPr>
        <xdr:cNvSpPr/>
      </xdr:nvSpPr>
      <xdr:spPr>
        <a:xfrm>
          <a:off x="541020" y="495300"/>
          <a:ext cx="2225040" cy="1905000"/>
        </a:xfrm>
        <a:prstGeom prst="rect">
          <a:avLst/>
        </a:prstGeom>
        <a:solidFill>
          <a:srgbClr val="70557B">
            <a:alpha val="52000"/>
          </a:srgb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050" b="1">
              <a:solidFill>
                <a:schemeClr val="bg1"/>
              </a:solidFill>
              <a:latin typeface="+mn-lt"/>
            </a:rPr>
            <a:t>GENDER</a:t>
          </a:r>
        </a:p>
      </xdr:txBody>
    </xdr:sp>
    <xdr:clientData/>
  </xdr:twoCellAnchor>
  <xdr:twoCellAnchor>
    <xdr:from>
      <xdr:col>4</xdr:col>
      <xdr:colOff>381000</xdr:colOff>
      <xdr:row>2</xdr:row>
      <xdr:rowOff>129540</xdr:rowOff>
    </xdr:from>
    <xdr:to>
      <xdr:col>8</xdr:col>
      <xdr:colOff>350520</xdr:colOff>
      <xdr:row>13</xdr:row>
      <xdr:rowOff>22860</xdr:rowOff>
    </xdr:to>
    <xdr:sp macro="" textlink="">
      <xdr:nvSpPr>
        <xdr:cNvPr id="37" name="Rectangle 36">
          <a:extLst>
            <a:ext uri="{FF2B5EF4-FFF2-40B4-BE49-F238E27FC236}">
              <a16:creationId xmlns:a16="http://schemas.microsoft.com/office/drawing/2014/main" id="{FC13D001-E900-4822-9486-3E202B0E1603}"/>
            </a:ext>
          </a:extLst>
        </xdr:cNvPr>
        <xdr:cNvSpPr/>
      </xdr:nvSpPr>
      <xdr:spPr>
        <a:xfrm>
          <a:off x="2819400" y="495300"/>
          <a:ext cx="2407920" cy="1905000"/>
        </a:xfrm>
        <a:prstGeom prst="rect">
          <a:avLst/>
        </a:prstGeom>
        <a:solidFill>
          <a:srgbClr val="70557B">
            <a:alpha val="52000"/>
          </a:srgb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100" b="1">
              <a:solidFill>
                <a:schemeClr val="bg1"/>
              </a:solidFill>
              <a:latin typeface="+mn-lt"/>
            </a:rPr>
            <a:t>TREATMENT TYPE</a:t>
          </a:r>
        </a:p>
      </xdr:txBody>
    </xdr:sp>
    <xdr:clientData/>
  </xdr:twoCellAnchor>
  <xdr:twoCellAnchor>
    <xdr:from>
      <xdr:col>14</xdr:col>
      <xdr:colOff>487680</xdr:colOff>
      <xdr:row>2</xdr:row>
      <xdr:rowOff>114300</xdr:rowOff>
    </xdr:from>
    <xdr:to>
      <xdr:col>18</xdr:col>
      <xdr:colOff>388620</xdr:colOff>
      <xdr:row>13</xdr:row>
      <xdr:rowOff>15240</xdr:rowOff>
    </xdr:to>
    <xdr:sp macro="" textlink="">
      <xdr:nvSpPr>
        <xdr:cNvPr id="38" name="Rectangle 37">
          <a:extLst>
            <a:ext uri="{FF2B5EF4-FFF2-40B4-BE49-F238E27FC236}">
              <a16:creationId xmlns:a16="http://schemas.microsoft.com/office/drawing/2014/main" id="{49BE2F0D-0415-4821-B4F3-2DE35BA9F32E}"/>
            </a:ext>
          </a:extLst>
        </xdr:cNvPr>
        <xdr:cNvSpPr/>
      </xdr:nvSpPr>
      <xdr:spPr>
        <a:xfrm>
          <a:off x="9022080" y="480060"/>
          <a:ext cx="2339340" cy="1912620"/>
        </a:xfrm>
        <a:prstGeom prst="rect">
          <a:avLst/>
        </a:prstGeom>
        <a:solidFill>
          <a:srgbClr val="70557B">
            <a:alpha val="52000"/>
          </a:srgb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100" b="1">
              <a:solidFill>
                <a:schemeClr val="bg1"/>
              </a:solidFill>
              <a:latin typeface="+mn-lt"/>
            </a:rPr>
            <a:t>DOCTOR NAME</a:t>
          </a:r>
        </a:p>
      </xdr:txBody>
    </xdr:sp>
    <xdr:clientData/>
  </xdr:twoCellAnchor>
  <xdr:twoCellAnchor>
    <xdr:from>
      <xdr:col>18</xdr:col>
      <xdr:colOff>449580</xdr:colOff>
      <xdr:row>2</xdr:row>
      <xdr:rowOff>91440</xdr:rowOff>
    </xdr:from>
    <xdr:to>
      <xdr:col>22</xdr:col>
      <xdr:colOff>373380</xdr:colOff>
      <xdr:row>13</xdr:row>
      <xdr:rowOff>22860</xdr:rowOff>
    </xdr:to>
    <xdr:sp macro="" textlink="">
      <xdr:nvSpPr>
        <xdr:cNvPr id="39" name="Rectangle 38">
          <a:extLst>
            <a:ext uri="{FF2B5EF4-FFF2-40B4-BE49-F238E27FC236}">
              <a16:creationId xmlns:a16="http://schemas.microsoft.com/office/drawing/2014/main" id="{8CF5071E-1233-4617-88AB-D703F208B2E2}"/>
            </a:ext>
          </a:extLst>
        </xdr:cNvPr>
        <xdr:cNvSpPr/>
      </xdr:nvSpPr>
      <xdr:spPr>
        <a:xfrm>
          <a:off x="11422380" y="457200"/>
          <a:ext cx="2362200" cy="1943100"/>
        </a:xfrm>
        <a:prstGeom prst="rect">
          <a:avLst/>
        </a:prstGeom>
        <a:solidFill>
          <a:srgbClr val="70557B">
            <a:alpha val="52000"/>
          </a:srgb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100" b="1">
              <a:solidFill>
                <a:schemeClr val="bg1"/>
              </a:solidFill>
              <a:latin typeface="+mn-lt"/>
            </a:rPr>
            <a:t>DEPARTMENT NAME</a:t>
          </a:r>
        </a:p>
      </xdr:txBody>
    </xdr:sp>
    <xdr:clientData/>
  </xdr:twoCellAnchor>
  <xdr:twoCellAnchor editAs="oneCell">
    <xdr:from>
      <xdr:col>1</xdr:col>
      <xdr:colOff>76200</xdr:colOff>
      <xdr:row>8</xdr:row>
      <xdr:rowOff>167640</xdr:rowOff>
    </xdr:from>
    <xdr:to>
      <xdr:col>4</xdr:col>
      <xdr:colOff>167640</xdr:colOff>
      <xdr:row>12</xdr:row>
      <xdr:rowOff>137160</xdr:rowOff>
    </xdr:to>
    <mc:AlternateContent xmlns:mc="http://schemas.openxmlformats.org/markup-compatibility/2006" xmlns:a14="http://schemas.microsoft.com/office/drawing/2010/main">
      <mc:Choice Requires="a14">
        <xdr:graphicFrame macro="">
          <xdr:nvGraphicFramePr>
            <xdr:cNvPr id="40" name="Gender 1">
              <a:extLst>
                <a:ext uri="{FF2B5EF4-FFF2-40B4-BE49-F238E27FC236}">
                  <a16:creationId xmlns:a16="http://schemas.microsoft.com/office/drawing/2014/main" id="{8AB91A3E-48B8-4E54-8607-43C2A38D4B9C}"/>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685800" y="1630680"/>
              <a:ext cx="1920240" cy="701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533400</xdr:colOff>
      <xdr:row>9</xdr:row>
      <xdr:rowOff>0</xdr:rowOff>
    </xdr:from>
    <xdr:to>
      <xdr:col>8</xdr:col>
      <xdr:colOff>213360</xdr:colOff>
      <xdr:row>12</xdr:row>
      <xdr:rowOff>106680</xdr:rowOff>
    </xdr:to>
    <mc:AlternateContent xmlns:mc="http://schemas.openxmlformats.org/markup-compatibility/2006" xmlns:a14="http://schemas.microsoft.com/office/drawing/2010/main">
      <mc:Choice Requires="a14">
        <xdr:graphicFrame macro="">
          <xdr:nvGraphicFramePr>
            <xdr:cNvPr id="41" name="Treatment Type 1">
              <a:extLst>
                <a:ext uri="{FF2B5EF4-FFF2-40B4-BE49-F238E27FC236}">
                  <a16:creationId xmlns:a16="http://schemas.microsoft.com/office/drawing/2014/main" id="{72983591-86A9-4C46-9327-CE7960D3D23E}"/>
                </a:ext>
              </a:extLst>
            </xdr:cNvPr>
            <xdr:cNvGraphicFramePr/>
          </xdr:nvGraphicFramePr>
          <xdr:xfrm>
            <a:off x="0" y="0"/>
            <a:ext cx="0" cy="0"/>
          </xdr:xfrm>
          <a:graphic>
            <a:graphicData uri="http://schemas.microsoft.com/office/drawing/2010/slicer">
              <sle:slicer xmlns:sle="http://schemas.microsoft.com/office/drawing/2010/slicer" name="Treatment Type 1"/>
            </a:graphicData>
          </a:graphic>
        </xdr:graphicFrame>
      </mc:Choice>
      <mc:Fallback xmlns="">
        <xdr:sp macro="" textlink="">
          <xdr:nvSpPr>
            <xdr:cNvPr id="0" name=""/>
            <xdr:cNvSpPr>
              <a:spLocks noTextEdit="1"/>
            </xdr:cNvSpPr>
          </xdr:nvSpPr>
          <xdr:spPr>
            <a:xfrm>
              <a:off x="2971800" y="1645920"/>
              <a:ext cx="2118360" cy="655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586740</xdr:colOff>
      <xdr:row>8</xdr:row>
      <xdr:rowOff>167640</xdr:rowOff>
    </xdr:from>
    <xdr:to>
      <xdr:col>18</xdr:col>
      <xdr:colOff>281940</xdr:colOff>
      <xdr:row>12</xdr:row>
      <xdr:rowOff>91440</xdr:rowOff>
    </xdr:to>
    <mc:AlternateContent xmlns:mc="http://schemas.openxmlformats.org/markup-compatibility/2006" xmlns:a14="http://schemas.microsoft.com/office/drawing/2010/main">
      <mc:Choice Requires="a14">
        <xdr:graphicFrame macro="">
          <xdr:nvGraphicFramePr>
            <xdr:cNvPr id="42" name="Doctor Name 1">
              <a:extLst>
                <a:ext uri="{FF2B5EF4-FFF2-40B4-BE49-F238E27FC236}">
                  <a16:creationId xmlns:a16="http://schemas.microsoft.com/office/drawing/2014/main" id="{DA741EE7-41E6-4B0D-9C93-B1C4CAEDC28C}"/>
                </a:ext>
              </a:extLst>
            </xdr:cNvPr>
            <xdr:cNvGraphicFramePr/>
          </xdr:nvGraphicFramePr>
          <xdr:xfrm>
            <a:off x="0" y="0"/>
            <a:ext cx="0" cy="0"/>
          </xdr:xfrm>
          <a:graphic>
            <a:graphicData uri="http://schemas.microsoft.com/office/drawing/2010/slicer">
              <sle:slicer xmlns:sle="http://schemas.microsoft.com/office/drawing/2010/slicer" name="Doctor Name 1"/>
            </a:graphicData>
          </a:graphic>
        </xdr:graphicFrame>
      </mc:Choice>
      <mc:Fallback xmlns="">
        <xdr:sp macro="" textlink="">
          <xdr:nvSpPr>
            <xdr:cNvPr id="0" name=""/>
            <xdr:cNvSpPr>
              <a:spLocks noTextEdit="1"/>
            </xdr:cNvSpPr>
          </xdr:nvSpPr>
          <xdr:spPr>
            <a:xfrm>
              <a:off x="9121140" y="1630680"/>
              <a:ext cx="2133600" cy="655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556260</xdr:colOff>
      <xdr:row>8</xdr:row>
      <xdr:rowOff>160020</xdr:rowOff>
    </xdr:from>
    <xdr:to>
      <xdr:col>22</xdr:col>
      <xdr:colOff>266700</xdr:colOff>
      <xdr:row>12</xdr:row>
      <xdr:rowOff>106680</xdr:rowOff>
    </xdr:to>
    <mc:AlternateContent xmlns:mc="http://schemas.openxmlformats.org/markup-compatibility/2006" xmlns:a14="http://schemas.microsoft.com/office/drawing/2010/main">
      <mc:Choice Requires="a14">
        <xdr:graphicFrame macro="">
          <xdr:nvGraphicFramePr>
            <xdr:cNvPr id="43" name="Department 1">
              <a:extLst>
                <a:ext uri="{FF2B5EF4-FFF2-40B4-BE49-F238E27FC236}">
                  <a16:creationId xmlns:a16="http://schemas.microsoft.com/office/drawing/2014/main" id="{BF8B1C27-2D66-4774-B0C5-5AA5FDB1DD1A}"/>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1529060" y="1623060"/>
              <a:ext cx="2148840" cy="678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381000</xdr:colOff>
      <xdr:row>14</xdr:row>
      <xdr:rowOff>38100</xdr:rowOff>
    </xdr:from>
    <xdr:to>
      <xdr:col>22</xdr:col>
      <xdr:colOff>472440</xdr:colOff>
      <xdr:row>18</xdr:row>
      <xdr:rowOff>152400</xdr:rowOff>
    </xdr:to>
    <xdr:sp macro="" textlink="">
      <xdr:nvSpPr>
        <xdr:cNvPr id="48" name="Rectangle 47">
          <a:extLst>
            <a:ext uri="{FF2B5EF4-FFF2-40B4-BE49-F238E27FC236}">
              <a16:creationId xmlns:a16="http://schemas.microsoft.com/office/drawing/2014/main" id="{47B7D7D1-A023-4EA5-B3F0-A71DD463C3E5}"/>
            </a:ext>
          </a:extLst>
        </xdr:cNvPr>
        <xdr:cNvSpPr/>
      </xdr:nvSpPr>
      <xdr:spPr>
        <a:xfrm>
          <a:off x="381000" y="2598420"/>
          <a:ext cx="13502640" cy="845820"/>
        </a:xfrm>
        <a:prstGeom prst="rect">
          <a:avLst/>
        </a:prstGeom>
        <a:solidFill>
          <a:srgbClr val="70557B">
            <a:alpha val="52000"/>
          </a:srgb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495300</xdr:colOff>
      <xdr:row>14</xdr:row>
      <xdr:rowOff>106680</xdr:rowOff>
    </xdr:from>
    <xdr:to>
      <xdr:col>5</xdr:col>
      <xdr:colOff>510540</xdr:colOff>
      <xdr:row>18</xdr:row>
      <xdr:rowOff>83820</xdr:rowOff>
    </xdr:to>
    <xdr:sp macro="" textlink="">
      <xdr:nvSpPr>
        <xdr:cNvPr id="50" name="Rectangle 49">
          <a:extLst>
            <a:ext uri="{FF2B5EF4-FFF2-40B4-BE49-F238E27FC236}">
              <a16:creationId xmlns:a16="http://schemas.microsoft.com/office/drawing/2014/main" id="{7AE16A79-05F8-4F2D-AEF5-1E8B81CAE2F6}"/>
            </a:ext>
          </a:extLst>
        </xdr:cNvPr>
        <xdr:cNvSpPr/>
      </xdr:nvSpPr>
      <xdr:spPr>
        <a:xfrm>
          <a:off x="495300" y="2667000"/>
          <a:ext cx="3063240" cy="708660"/>
        </a:xfrm>
        <a:prstGeom prst="rect">
          <a:avLst/>
        </a:prstGeom>
        <a:solidFill>
          <a:srgbClr val="70557B">
            <a:alpha val="52000"/>
          </a:srgb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050" b="1">
              <a:solidFill>
                <a:schemeClr val="bg1"/>
              </a:solidFill>
              <a:latin typeface="Calibri" panose="020F0502020204030204" pitchFamily="34" charset="0"/>
              <a:ea typeface="Calibri" panose="020F0502020204030204" pitchFamily="34" charset="0"/>
              <a:cs typeface="Calibri" panose="020F0502020204030204" pitchFamily="34" charset="0"/>
            </a:rPr>
            <a:t>AVERAGE</a:t>
          </a:r>
          <a:r>
            <a:rPr lang="en-IN" sz="1050" b="1" baseline="0">
              <a:solidFill>
                <a:schemeClr val="bg1"/>
              </a:solidFill>
              <a:latin typeface="Calibri" panose="020F0502020204030204" pitchFamily="34" charset="0"/>
              <a:ea typeface="Calibri" panose="020F0502020204030204" pitchFamily="34" charset="0"/>
              <a:cs typeface="Calibri" panose="020F0502020204030204" pitchFamily="34" charset="0"/>
            </a:rPr>
            <a:t> PATIENT AGE</a:t>
          </a:r>
          <a:endParaRPr lang="en-IN" sz="105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17</xdr:col>
      <xdr:colOff>396240</xdr:colOff>
      <xdr:row>14</xdr:row>
      <xdr:rowOff>106680</xdr:rowOff>
    </xdr:from>
    <xdr:to>
      <xdr:col>22</xdr:col>
      <xdr:colOff>411480</xdr:colOff>
      <xdr:row>18</xdr:row>
      <xdr:rowOff>76200</xdr:rowOff>
    </xdr:to>
    <xdr:sp macro="" textlink="">
      <xdr:nvSpPr>
        <xdr:cNvPr id="51" name="Rectangle 50">
          <a:extLst>
            <a:ext uri="{FF2B5EF4-FFF2-40B4-BE49-F238E27FC236}">
              <a16:creationId xmlns:a16="http://schemas.microsoft.com/office/drawing/2014/main" id="{7ADAA3E2-0DB9-4322-B45F-440FDDD1C16E}"/>
            </a:ext>
          </a:extLst>
        </xdr:cNvPr>
        <xdr:cNvSpPr/>
      </xdr:nvSpPr>
      <xdr:spPr>
        <a:xfrm>
          <a:off x="10759440" y="2667000"/>
          <a:ext cx="3063240" cy="701040"/>
        </a:xfrm>
        <a:prstGeom prst="rect">
          <a:avLst/>
        </a:prstGeom>
        <a:solidFill>
          <a:srgbClr val="70557B">
            <a:alpha val="52000"/>
          </a:srgb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050" b="1">
              <a:solidFill>
                <a:schemeClr val="bg1"/>
              </a:solidFill>
              <a:latin typeface="Calibri" panose="020F0502020204030204" pitchFamily="34" charset="0"/>
              <a:ea typeface="Calibri" panose="020F0502020204030204" pitchFamily="34" charset="0"/>
              <a:cs typeface="Calibri" panose="020F0502020204030204" pitchFamily="34" charset="0"/>
            </a:rPr>
            <a:t>AVERAGE</a:t>
          </a:r>
          <a:r>
            <a:rPr lang="en-IN" sz="1050" b="1" baseline="0">
              <a:solidFill>
                <a:schemeClr val="bg1"/>
              </a:solidFill>
              <a:latin typeface="Calibri" panose="020F0502020204030204" pitchFamily="34" charset="0"/>
              <a:ea typeface="Calibri" panose="020F0502020204030204" pitchFamily="34" charset="0"/>
              <a:cs typeface="Calibri" panose="020F0502020204030204" pitchFamily="34" charset="0"/>
            </a:rPr>
            <a:t> HOSPITAL STAY (IN DAYS)</a:t>
          </a:r>
          <a:endParaRPr lang="en-IN" sz="105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5</xdr:col>
      <xdr:colOff>548640</xdr:colOff>
      <xdr:row>14</xdr:row>
      <xdr:rowOff>114300</xdr:rowOff>
    </xdr:from>
    <xdr:to>
      <xdr:col>11</xdr:col>
      <xdr:colOff>541020</xdr:colOff>
      <xdr:row>18</xdr:row>
      <xdr:rowOff>91440</xdr:rowOff>
    </xdr:to>
    <xdr:sp macro="" textlink="">
      <xdr:nvSpPr>
        <xdr:cNvPr id="52" name="Rectangle 51">
          <a:extLst>
            <a:ext uri="{FF2B5EF4-FFF2-40B4-BE49-F238E27FC236}">
              <a16:creationId xmlns:a16="http://schemas.microsoft.com/office/drawing/2014/main" id="{2DDB255A-E920-41E5-8187-2E77DA6C2CED}"/>
            </a:ext>
          </a:extLst>
        </xdr:cNvPr>
        <xdr:cNvSpPr/>
      </xdr:nvSpPr>
      <xdr:spPr>
        <a:xfrm>
          <a:off x="3596640" y="2674620"/>
          <a:ext cx="3649980" cy="708660"/>
        </a:xfrm>
        <a:prstGeom prst="rect">
          <a:avLst/>
        </a:prstGeom>
        <a:solidFill>
          <a:srgbClr val="70557B">
            <a:alpha val="52000"/>
          </a:srgb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050" b="1">
              <a:solidFill>
                <a:schemeClr val="bg1"/>
              </a:solidFill>
              <a:latin typeface="Calibri" panose="020F0502020204030204" pitchFamily="34" charset="0"/>
              <a:ea typeface="Calibri" panose="020F0502020204030204" pitchFamily="34" charset="0"/>
              <a:cs typeface="Calibri" panose="020F0502020204030204" pitchFamily="34" charset="0"/>
            </a:rPr>
            <a:t>AVERAGE</a:t>
          </a:r>
          <a:r>
            <a:rPr lang="en-IN" sz="1050" b="1" baseline="0">
              <a:solidFill>
                <a:schemeClr val="bg1"/>
              </a:solidFill>
              <a:latin typeface="Calibri" panose="020F0502020204030204" pitchFamily="34" charset="0"/>
              <a:ea typeface="Calibri" panose="020F0502020204030204" pitchFamily="34" charset="0"/>
              <a:cs typeface="Calibri" panose="020F0502020204030204" pitchFamily="34" charset="0"/>
            </a:rPr>
            <a:t> TREATMENT COST</a:t>
          </a:r>
          <a:endParaRPr lang="en-IN" sz="105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11</xdr:col>
      <xdr:colOff>579120</xdr:colOff>
      <xdr:row>14</xdr:row>
      <xdr:rowOff>106680</xdr:rowOff>
    </xdr:from>
    <xdr:to>
      <xdr:col>17</xdr:col>
      <xdr:colOff>358140</xdr:colOff>
      <xdr:row>18</xdr:row>
      <xdr:rowOff>83820</xdr:rowOff>
    </xdr:to>
    <xdr:sp macro="" textlink="">
      <xdr:nvSpPr>
        <xdr:cNvPr id="53" name="Rectangle 52">
          <a:extLst>
            <a:ext uri="{FF2B5EF4-FFF2-40B4-BE49-F238E27FC236}">
              <a16:creationId xmlns:a16="http://schemas.microsoft.com/office/drawing/2014/main" id="{A1A75F87-E0F1-4C6A-B80D-326D7002CFAA}"/>
            </a:ext>
          </a:extLst>
        </xdr:cNvPr>
        <xdr:cNvSpPr/>
      </xdr:nvSpPr>
      <xdr:spPr>
        <a:xfrm>
          <a:off x="7284720" y="2667000"/>
          <a:ext cx="3436620" cy="708660"/>
        </a:xfrm>
        <a:prstGeom prst="rect">
          <a:avLst/>
        </a:prstGeom>
        <a:solidFill>
          <a:srgbClr val="70557B">
            <a:alpha val="52000"/>
          </a:srgb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050" b="1">
              <a:solidFill>
                <a:schemeClr val="bg1"/>
              </a:solidFill>
              <a:latin typeface="Calibri" panose="020F0502020204030204" pitchFamily="34" charset="0"/>
              <a:ea typeface="Calibri" panose="020F0502020204030204" pitchFamily="34" charset="0"/>
              <a:cs typeface="Calibri" panose="020F0502020204030204" pitchFamily="34" charset="0"/>
            </a:rPr>
            <a:t>AVERAGE</a:t>
          </a:r>
          <a:r>
            <a:rPr lang="en-IN" sz="1050" b="1" baseline="0">
              <a:solidFill>
                <a:schemeClr val="bg1"/>
              </a:solidFill>
              <a:latin typeface="Calibri" panose="020F0502020204030204" pitchFamily="34" charset="0"/>
              <a:ea typeface="Calibri" panose="020F0502020204030204" pitchFamily="34" charset="0"/>
              <a:cs typeface="Calibri" panose="020F0502020204030204" pitchFamily="34" charset="0"/>
            </a:rPr>
            <a:t> RECOVERY SCORE</a:t>
          </a:r>
          <a:endParaRPr lang="en-IN" sz="105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xdr:col>
      <xdr:colOff>434340</xdr:colOff>
      <xdr:row>15</xdr:row>
      <xdr:rowOff>175260</xdr:rowOff>
    </xdr:from>
    <xdr:to>
      <xdr:col>3</xdr:col>
      <xdr:colOff>579120</xdr:colOff>
      <xdr:row>17</xdr:row>
      <xdr:rowOff>175260</xdr:rowOff>
    </xdr:to>
    <xdr:sp macro="" textlink="Average_of_Age">
      <xdr:nvSpPr>
        <xdr:cNvPr id="54" name="TextBox 53">
          <a:extLst>
            <a:ext uri="{FF2B5EF4-FFF2-40B4-BE49-F238E27FC236}">
              <a16:creationId xmlns:a16="http://schemas.microsoft.com/office/drawing/2014/main" id="{B7BCD791-FB3F-F471-2970-12E2980255E4}"/>
            </a:ext>
          </a:extLst>
        </xdr:cNvPr>
        <xdr:cNvSpPr txBox="1"/>
      </xdr:nvSpPr>
      <xdr:spPr>
        <a:xfrm>
          <a:off x="1653540" y="2918460"/>
          <a:ext cx="754380" cy="365760"/>
        </a:xfrm>
        <a:prstGeom prst="rect">
          <a:avLst/>
        </a:prstGeom>
        <a:solidFill>
          <a:srgbClr val="70557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D92E856F-524D-4B1C-8E8C-6BCA48CCACEB}" type="TxLink">
            <a:rPr lang="en-US" sz="1200" b="1" i="0" u="none" strike="noStrike">
              <a:solidFill>
                <a:schemeClr val="bg1"/>
              </a:solidFill>
              <a:latin typeface="Calibri"/>
              <a:ea typeface="Calibri"/>
              <a:cs typeface="Calibri"/>
            </a:rPr>
            <a:pPr/>
            <a:t>41.7</a:t>
          </a:fld>
          <a:endParaRPr lang="en-IN" sz="1200" b="1">
            <a:solidFill>
              <a:schemeClr val="bg1"/>
            </a:solidFill>
          </a:endParaRPr>
        </a:p>
      </xdr:txBody>
    </xdr:sp>
    <xdr:clientData/>
  </xdr:twoCellAnchor>
  <xdr:twoCellAnchor>
    <xdr:from>
      <xdr:col>7</xdr:col>
      <xdr:colOff>601980</xdr:colOff>
      <xdr:row>15</xdr:row>
      <xdr:rowOff>175260</xdr:rowOff>
    </xdr:from>
    <xdr:to>
      <xdr:col>10</xdr:col>
      <xdr:colOff>76200</xdr:colOff>
      <xdr:row>17</xdr:row>
      <xdr:rowOff>167640</xdr:rowOff>
    </xdr:to>
    <xdr:sp macro="" textlink="Average_of_Treatment_Cost">
      <xdr:nvSpPr>
        <xdr:cNvPr id="55" name="TextBox 54">
          <a:extLst>
            <a:ext uri="{FF2B5EF4-FFF2-40B4-BE49-F238E27FC236}">
              <a16:creationId xmlns:a16="http://schemas.microsoft.com/office/drawing/2014/main" id="{9D5AE014-F3A8-4F64-AB60-B1E7920B14C2}"/>
            </a:ext>
          </a:extLst>
        </xdr:cNvPr>
        <xdr:cNvSpPr txBox="1"/>
      </xdr:nvSpPr>
      <xdr:spPr>
        <a:xfrm>
          <a:off x="4869180" y="2918460"/>
          <a:ext cx="1303020" cy="358140"/>
        </a:xfrm>
        <a:prstGeom prst="rect">
          <a:avLst/>
        </a:prstGeom>
        <a:solidFill>
          <a:srgbClr val="70557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4088C60E-A25A-4F29-8066-E6F34ABABD11}" type="TxLink">
            <a:rPr lang="en-US" sz="1200" b="1" i="0" u="none" strike="noStrike">
              <a:solidFill>
                <a:schemeClr val="bg1"/>
              </a:solidFill>
              <a:latin typeface="Calibri"/>
              <a:ea typeface="Calibri"/>
              <a:cs typeface="Calibri"/>
            </a:rPr>
            <a:pPr algn="l"/>
            <a:t> $79,698.51 </a:t>
          </a:fld>
          <a:endParaRPr lang="en-IN" sz="1200" b="1">
            <a:solidFill>
              <a:schemeClr val="bg1"/>
            </a:solidFill>
          </a:endParaRPr>
        </a:p>
      </xdr:txBody>
    </xdr:sp>
    <xdr:clientData/>
  </xdr:twoCellAnchor>
  <xdr:twoCellAnchor>
    <xdr:from>
      <xdr:col>14</xdr:col>
      <xdr:colOff>38100</xdr:colOff>
      <xdr:row>16</xdr:row>
      <xdr:rowOff>0</xdr:rowOff>
    </xdr:from>
    <xdr:to>
      <xdr:col>15</xdr:col>
      <xdr:colOff>281940</xdr:colOff>
      <xdr:row>17</xdr:row>
      <xdr:rowOff>152400</xdr:rowOff>
    </xdr:to>
    <xdr:sp macro="" textlink="Average_of_Recovery_Score">
      <xdr:nvSpPr>
        <xdr:cNvPr id="56" name="TextBox 55">
          <a:extLst>
            <a:ext uri="{FF2B5EF4-FFF2-40B4-BE49-F238E27FC236}">
              <a16:creationId xmlns:a16="http://schemas.microsoft.com/office/drawing/2014/main" id="{02C19F28-16C9-463F-AB4F-C34915EFA71D}"/>
            </a:ext>
          </a:extLst>
        </xdr:cNvPr>
        <xdr:cNvSpPr txBox="1"/>
      </xdr:nvSpPr>
      <xdr:spPr>
        <a:xfrm>
          <a:off x="8572500" y="2926080"/>
          <a:ext cx="853440" cy="335280"/>
        </a:xfrm>
        <a:prstGeom prst="rect">
          <a:avLst/>
        </a:prstGeom>
        <a:solidFill>
          <a:srgbClr val="70557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3061B78F-5F7F-4D24-A620-1939D41B3765}" type="TxLink">
            <a:rPr lang="en-US" sz="1200" b="1" i="0" u="none" strike="noStrike">
              <a:solidFill>
                <a:schemeClr val="bg1"/>
              </a:solidFill>
              <a:latin typeface="Calibri"/>
              <a:ea typeface="Calibri"/>
              <a:cs typeface="Calibri"/>
            </a:rPr>
            <a:pPr algn="l"/>
            <a:t>70.4</a:t>
          </a:fld>
          <a:endParaRPr lang="en-IN" sz="1200" b="1">
            <a:solidFill>
              <a:schemeClr val="bg1"/>
            </a:solidFill>
          </a:endParaRPr>
        </a:p>
      </xdr:txBody>
    </xdr:sp>
    <xdr:clientData/>
  </xdr:twoCellAnchor>
  <xdr:twoCellAnchor>
    <xdr:from>
      <xdr:col>19</xdr:col>
      <xdr:colOff>304800</xdr:colOff>
      <xdr:row>15</xdr:row>
      <xdr:rowOff>175260</xdr:rowOff>
    </xdr:from>
    <xdr:to>
      <xdr:col>21</xdr:col>
      <xdr:colOff>129540</xdr:colOff>
      <xdr:row>17</xdr:row>
      <xdr:rowOff>160020</xdr:rowOff>
    </xdr:to>
    <xdr:sp macro="" textlink="Average_of_Hospital_Stay__Days">
      <xdr:nvSpPr>
        <xdr:cNvPr id="57" name="TextBox 56">
          <a:extLst>
            <a:ext uri="{FF2B5EF4-FFF2-40B4-BE49-F238E27FC236}">
              <a16:creationId xmlns:a16="http://schemas.microsoft.com/office/drawing/2014/main" id="{49AA9E75-8945-44F5-851B-95B4C5DD944F}"/>
            </a:ext>
          </a:extLst>
        </xdr:cNvPr>
        <xdr:cNvSpPr txBox="1"/>
      </xdr:nvSpPr>
      <xdr:spPr>
        <a:xfrm>
          <a:off x="11887200" y="2918460"/>
          <a:ext cx="1043940" cy="350520"/>
        </a:xfrm>
        <a:prstGeom prst="rect">
          <a:avLst/>
        </a:prstGeom>
        <a:solidFill>
          <a:srgbClr val="70557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F87EAE62-1D07-4E4D-9C1F-92E7B66D0128}" type="TxLink">
            <a:rPr lang="en-US" sz="1200" b="1" i="0" u="none" strike="noStrike">
              <a:solidFill>
                <a:schemeClr val="bg1"/>
              </a:solidFill>
              <a:latin typeface="Calibri"/>
              <a:ea typeface="Calibri"/>
              <a:cs typeface="Calibri"/>
            </a:rPr>
            <a:pPr algn="l"/>
            <a:t>16.02</a:t>
          </a:fld>
          <a:endParaRPr lang="en-IN" sz="1200" b="1">
            <a:solidFill>
              <a:schemeClr val="bg1"/>
            </a:solidFill>
          </a:endParaRPr>
        </a:p>
      </xdr:txBody>
    </xdr:sp>
    <xdr:clientData/>
  </xdr:twoCellAnchor>
  <xdr:twoCellAnchor editAs="oneCell">
    <xdr:from>
      <xdr:col>3</xdr:col>
      <xdr:colOff>236220</xdr:colOff>
      <xdr:row>15</xdr:row>
      <xdr:rowOff>129540</xdr:rowOff>
    </xdr:from>
    <xdr:to>
      <xdr:col>3</xdr:col>
      <xdr:colOff>579120</xdr:colOff>
      <xdr:row>18</xdr:row>
      <xdr:rowOff>0</xdr:rowOff>
    </xdr:to>
    <xdr:pic>
      <xdr:nvPicPr>
        <xdr:cNvPr id="59" name="Graphic 58" descr="Daily calendar">
          <a:extLst>
            <a:ext uri="{FF2B5EF4-FFF2-40B4-BE49-F238E27FC236}">
              <a16:creationId xmlns:a16="http://schemas.microsoft.com/office/drawing/2014/main" id="{89672532-1FAE-ACAC-FD72-576EDC836573}"/>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065020" y="2872740"/>
          <a:ext cx="342900" cy="419100"/>
        </a:xfrm>
        <a:prstGeom prst="rect">
          <a:avLst/>
        </a:prstGeom>
      </xdr:spPr>
    </xdr:pic>
    <xdr:clientData/>
  </xdr:twoCellAnchor>
  <xdr:twoCellAnchor editAs="oneCell">
    <xdr:from>
      <xdr:col>9</xdr:col>
      <xdr:colOff>274320</xdr:colOff>
      <xdr:row>15</xdr:row>
      <xdr:rowOff>144780</xdr:rowOff>
    </xdr:from>
    <xdr:to>
      <xdr:col>10</xdr:col>
      <xdr:colOff>83820</xdr:colOff>
      <xdr:row>18</xdr:row>
      <xdr:rowOff>15240</xdr:rowOff>
    </xdr:to>
    <xdr:pic>
      <xdr:nvPicPr>
        <xdr:cNvPr id="63" name="Graphic 62" descr="Wallet">
          <a:extLst>
            <a:ext uri="{FF2B5EF4-FFF2-40B4-BE49-F238E27FC236}">
              <a16:creationId xmlns:a16="http://schemas.microsoft.com/office/drawing/2014/main" id="{15DBBA58-CF02-466A-02A6-B59401DF7462}"/>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760720" y="2887980"/>
          <a:ext cx="419100" cy="419100"/>
        </a:xfrm>
        <a:prstGeom prst="rect">
          <a:avLst/>
        </a:prstGeom>
      </xdr:spPr>
    </xdr:pic>
    <xdr:clientData/>
  </xdr:twoCellAnchor>
  <xdr:twoCellAnchor editAs="oneCell">
    <xdr:from>
      <xdr:col>14</xdr:col>
      <xdr:colOff>502920</xdr:colOff>
      <xdr:row>15</xdr:row>
      <xdr:rowOff>129540</xdr:rowOff>
    </xdr:from>
    <xdr:to>
      <xdr:col>15</xdr:col>
      <xdr:colOff>335280</xdr:colOff>
      <xdr:row>18</xdr:row>
      <xdr:rowOff>22860</xdr:rowOff>
    </xdr:to>
    <xdr:pic>
      <xdr:nvPicPr>
        <xdr:cNvPr id="65" name="Graphic 64" descr="Heart with pulse">
          <a:extLst>
            <a:ext uri="{FF2B5EF4-FFF2-40B4-BE49-F238E27FC236}">
              <a16:creationId xmlns:a16="http://schemas.microsoft.com/office/drawing/2014/main" id="{06461CB9-D092-D932-5D48-FFDFE7EE80A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9037320" y="2872740"/>
          <a:ext cx="441960" cy="441960"/>
        </a:xfrm>
        <a:prstGeom prst="rect">
          <a:avLst/>
        </a:prstGeom>
      </xdr:spPr>
    </xdr:pic>
    <xdr:clientData/>
  </xdr:twoCellAnchor>
  <xdr:twoCellAnchor editAs="oneCell">
    <xdr:from>
      <xdr:col>20</xdr:col>
      <xdr:colOff>274320</xdr:colOff>
      <xdr:row>15</xdr:row>
      <xdr:rowOff>129540</xdr:rowOff>
    </xdr:from>
    <xdr:to>
      <xdr:col>21</xdr:col>
      <xdr:colOff>121920</xdr:colOff>
      <xdr:row>18</xdr:row>
      <xdr:rowOff>38100</xdr:rowOff>
    </xdr:to>
    <xdr:pic>
      <xdr:nvPicPr>
        <xdr:cNvPr id="67" name="Graphic 66" descr="Hospital">
          <a:extLst>
            <a:ext uri="{FF2B5EF4-FFF2-40B4-BE49-F238E27FC236}">
              <a16:creationId xmlns:a16="http://schemas.microsoft.com/office/drawing/2014/main" id="{30879E85-5C13-5000-0048-3D81D84108A1}"/>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2466320" y="2872740"/>
          <a:ext cx="457200" cy="457200"/>
        </a:xfrm>
        <a:prstGeom prst="rect">
          <a:avLst/>
        </a:prstGeom>
      </xdr:spPr>
    </xdr:pic>
    <xdr:clientData/>
  </xdr:twoCellAnchor>
  <xdr:twoCellAnchor>
    <xdr:from>
      <xdr:col>0</xdr:col>
      <xdr:colOff>533400</xdr:colOff>
      <xdr:row>33</xdr:row>
      <xdr:rowOff>68580</xdr:rowOff>
    </xdr:from>
    <xdr:to>
      <xdr:col>6</xdr:col>
      <xdr:colOff>441960</xdr:colOff>
      <xdr:row>46</xdr:row>
      <xdr:rowOff>114300</xdr:rowOff>
    </xdr:to>
    <mc:AlternateContent xmlns:mc="http://schemas.openxmlformats.org/markup-compatibility/2006">
      <mc:Choice xmlns:cx1="http://schemas.microsoft.com/office/drawing/2015/9/8/chartex" Requires="cx1">
        <xdr:graphicFrame macro="">
          <xdr:nvGraphicFramePr>
            <xdr:cNvPr id="68" name="Chart 67">
              <a:extLst>
                <a:ext uri="{FF2B5EF4-FFF2-40B4-BE49-F238E27FC236}">
                  <a16:creationId xmlns:a16="http://schemas.microsoft.com/office/drawing/2014/main" id="{4A5256F0-CB5F-43D0-BCB3-363496F4A8A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533400" y="6103620"/>
              <a:ext cx="3566160" cy="24231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556260</xdr:colOff>
      <xdr:row>3</xdr:row>
      <xdr:rowOff>106680</xdr:rowOff>
    </xdr:from>
    <xdr:to>
      <xdr:col>14</xdr:col>
      <xdr:colOff>274320</xdr:colOff>
      <xdr:row>11</xdr:row>
      <xdr:rowOff>99060</xdr:rowOff>
    </xdr:to>
    <xdr:graphicFrame macro="">
      <xdr:nvGraphicFramePr>
        <xdr:cNvPr id="70" name="Chart 69">
          <a:extLst>
            <a:ext uri="{FF2B5EF4-FFF2-40B4-BE49-F238E27FC236}">
              <a16:creationId xmlns:a16="http://schemas.microsoft.com/office/drawing/2014/main" id="{4723FB77-5C35-497F-8A62-8F04C7B0D1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6</xdr:col>
      <xdr:colOff>38100</xdr:colOff>
      <xdr:row>3</xdr:row>
      <xdr:rowOff>175260</xdr:rowOff>
    </xdr:from>
    <xdr:to>
      <xdr:col>7</xdr:col>
      <xdr:colOff>342900</xdr:colOff>
      <xdr:row>8</xdr:row>
      <xdr:rowOff>175260</xdr:rowOff>
    </xdr:to>
    <xdr:pic>
      <xdr:nvPicPr>
        <xdr:cNvPr id="21" name="Graphic 20" descr="Stethoscope">
          <a:extLst>
            <a:ext uri="{FF2B5EF4-FFF2-40B4-BE49-F238E27FC236}">
              <a16:creationId xmlns:a16="http://schemas.microsoft.com/office/drawing/2014/main" id="{5AAE2E4F-BEBB-F9C6-2DBE-CB30E334C058}"/>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3695700" y="723900"/>
          <a:ext cx="914400" cy="914400"/>
        </a:xfrm>
        <a:prstGeom prst="rect">
          <a:avLst/>
        </a:prstGeom>
      </xdr:spPr>
    </xdr:pic>
    <xdr:clientData/>
  </xdr:twoCellAnchor>
  <xdr:twoCellAnchor editAs="oneCell">
    <xdr:from>
      <xdr:col>20</xdr:col>
      <xdr:colOff>20460</xdr:colOff>
      <xdr:row>3</xdr:row>
      <xdr:rowOff>104280</xdr:rowOff>
    </xdr:from>
    <xdr:to>
      <xdr:col>21</xdr:col>
      <xdr:colOff>325260</xdr:colOff>
      <xdr:row>8</xdr:row>
      <xdr:rowOff>104280</xdr:rowOff>
    </xdr:to>
    <xdr:pic>
      <xdr:nvPicPr>
        <xdr:cNvPr id="23" name="Graphic 22" descr="Brain in head">
          <a:extLst>
            <a:ext uri="{FF2B5EF4-FFF2-40B4-BE49-F238E27FC236}">
              <a16:creationId xmlns:a16="http://schemas.microsoft.com/office/drawing/2014/main" id="{5121A9FB-7022-2E51-32C3-E5D53D905956}"/>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12212460" y="652920"/>
          <a:ext cx="914400" cy="914400"/>
        </a:xfrm>
        <a:prstGeom prst="rect">
          <a:avLst/>
        </a:prstGeom>
      </xdr:spPr>
    </xdr:pic>
    <xdr:clientData/>
  </xdr:twoCellAnchor>
  <xdr:twoCellAnchor editAs="oneCell">
    <xdr:from>
      <xdr:col>1</xdr:col>
      <xdr:colOff>581940</xdr:colOff>
      <xdr:row>3</xdr:row>
      <xdr:rowOff>155220</xdr:rowOff>
    </xdr:from>
    <xdr:to>
      <xdr:col>3</xdr:col>
      <xdr:colOff>277140</xdr:colOff>
      <xdr:row>8</xdr:row>
      <xdr:rowOff>155220</xdr:rowOff>
    </xdr:to>
    <xdr:pic>
      <xdr:nvPicPr>
        <xdr:cNvPr id="27" name="Graphic 26" descr="Users">
          <a:extLst>
            <a:ext uri="{FF2B5EF4-FFF2-40B4-BE49-F238E27FC236}">
              <a16:creationId xmlns:a16="http://schemas.microsoft.com/office/drawing/2014/main" id="{39CD5237-C2D2-BC75-311F-B7959B1FBB52}"/>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1191540" y="703860"/>
          <a:ext cx="914400" cy="914400"/>
        </a:xfrm>
        <a:prstGeom prst="rect">
          <a:avLst/>
        </a:prstGeom>
      </xdr:spPr>
    </xdr:pic>
    <xdr:clientData/>
  </xdr:twoCellAnchor>
  <xdr:twoCellAnchor editAs="oneCell">
    <xdr:from>
      <xdr:col>16</xdr:col>
      <xdr:colOff>30480</xdr:colOff>
      <xdr:row>3</xdr:row>
      <xdr:rowOff>137160</xdr:rowOff>
    </xdr:from>
    <xdr:to>
      <xdr:col>17</xdr:col>
      <xdr:colOff>335280</xdr:colOff>
      <xdr:row>8</xdr:row>
      <xdr:rowOff>137160</xdr:rowOff>
    </xdr:to>
    <xdr:pic>
      <xdr:nvPicPr>
        <xdr:cNvPr id="30" name="Graphic 29" descr="Doctor">
          <a:extLst>
            <a:ext uri="{FF2B5EF4-FFF2-40B4-BE49-F238E27FC236}">
              <a16:creationId xmlns:a16="http://schemas.microsoft.com/office/drawing/2014/main" id="{57A292C7-B101-9CF3-5592-7DDD49CAD6F0}"/>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9784080" y="685800"/>
          <a:ext cx="914400" cy="91440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kshanya M" refreshedDate="45964.904381944441" backgroundQuery="1" createdVersion="8" refreshedVersion="8" minRefreshableVersion="3" recordCount="0" supportSubquery="1" supportAdvancedDrill="1" xr:uid="{96D5773E-A71F-4011-BB75-E456A41E2C9A}">
  <cacheSource type="external" connectionId="1"/>
  <cacheFields count="3">
    <cacheField name="[Table2].[Department].[Department]" caption="Department" numFmtId="0" hierarchy="1" level="1">
      <sharedItems count="6">
        <s v="Cardiology"/>
        <s v="Gastroenterology"/>
        <s v="Neurology"/>
        <s v="Oncology"/>
        <s v="Orthopedics"/>
        <s v="Pediatrics"/>
      </sharedItems>
    </cacheField>
    <cacheField name="[Measures].[Count of Patient ID]" caption="Count of Patient ID" numFmtId="0" hierarchy="12" level="32767"/>
    <cacheField name="[Table2].[Doctor Name].[Doctor Name]" caption="Doctor Name" numFmtId="0" hierarchy="3" level="1">
      <sharedItems containsSemiMixedTypes="0" containsNonDate="0" containsString="0"/>
    </cacheField>
  </cacheFields>
  <cacheHierarchies count="34">
    <cacheHierarchy uniqueName="[Table2].[Patient ID]" caption="Patient ID" attribute="1" defaultMemberUniqueName="[Table2].[Patient ID].[All]" allUniqueName="[Table2].[Patient ID].[All]" dimensionUniqueName="[Table2]" displayFolder="" count="0" memberValueDatatype="130" unbalanced="0"/>
    <cacheHierarchy uniqueName="[Table2].[Department]" caption="Department" attribute="1" defaultMemberUniqueName="[Table2].[Department].[All]" allUniqueName="[Table2].[Department].[All]" dimensionUniqueName="[Table2]" displayFolder="" count="2" memberValueDatatype="130" unbalanced="0">
      <fieldsUsage count="2">
        <fieldUsage x="-1"/>
        <fieldUsage x="0"/>
      </fieldsUsage>
    </cacheHierarchy>
    <cacheHierarchy uniqueName="[Table2].[Treatment Type]" caption="Treatment Type" attribute="1" defaultMemberUniqueName="[Table2].[Treatment Type].[All]" allUniqueName="[Table2].[Treatment Type].[All]" dimensionUniqueName="[Table2]" displayFolder="" count="2" memberValueDatatype="130" unbalanced="0"/>
    <cacheHierarchy uniqueName="[Table2].[Doctor Name]" caption="Doctor Name" attribute="1" defaultMemberUniqueName="[Table2].[Doctor Name].[All]" allUniqueName="[Table2].[Doctor Name].[All]" dimensionUniqueName="[Table2]" displayFolder="" count="2" memberValueDatatype="130" unbalanced="0">
      <fieldsUsage count="2">
        <fieldUsage x="-1"/>
        <fieldUsage x="2"/>
      </fieldsUsage>
    </cacheHierarchy>
    <cacheHierarchy uniqueName="[Table2].[Gender]" caption="Gender" attribute="1" defaultMemberUniqueName="[Table2].[Gender].[All]" allUniqueName="[Table2].[Gender].[All]" dimensionUniqueName="[Table2]" displayFolder="" count="2" memberValueDatatype="130" unbalanced="0"/>
    <cacheHierarchy uniqueName="[Table2].[Age]" caption="Age" attribute="1" defaultMemberUniqueName="[Table2].[Age].[All]" allUniqueName="[Table2].[Age].[All]" dimensionUniqueName="[Table2]" displayFolder="" count="0" memberValueDatatype="20" unbalanced="0"/>
    <cacheHierarchy uniqueName="[Table2].[Age Group]" caption="Age Group" attribute="1" defaultMemberUniqueName="[Table2].[Age Group].[All]" allUniqueName="[Table2].[Age Group].[All]" dimensionUniqueName="[Table2]" displayFolder="" count="0" memberValueDatatype="130" unbalanced="0"/>
    <cacheHierarchy uniqueName="[Table2].[Treatment Cost]" caption="Treatment Cost" attribute="1" defaultMemberUniqueName="[Table2].[Treatment Cost].[All]" allUniqueName="[Table2].[Treatment Cost].[All]" dimensionUniqueName="[Table2]" displayFolder="" count="0" memberValueDatatype="5" unbalanced="0"/>
    <cacheHierarchy uniqueName="[Table2].[Hospital Stay (Days)]" caption="Hospital Stay (Days)" attribute="1" defaultMemberUniqueName="[Table2].[Hospital Stay (Days)].[All]" allUniqueName="[Table2].[Hospital Stay (Days)].[All]" dimensionUniqueName="[Table2]" displayFolder="" count="0" memberValueDatatype="20" unbalanced="0"/>
    <cacheHierarchy uniqueName="[Table2].[Recovery Score]" caption="Recovery Score" attribute="1" defaultMemberUniqueName="[Table2].[Recovery Score].[All]" allUniqueName="[Table2].[Recovery Score].[All]" dimensionUniqueName="[Table2]" displayFolder="" count="0" memberValueDatatype="2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Patient ID]" caption="Count of Patient ID" measure="1" displayFolder="" measureGroup="Table2"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Age]" caption="Sum of Age" measure="1" displayFolder="" measureGroup="Table2" count="0" hidden="1">
      <extLst>
        <ext xmlns:x15="http://schemas.microsoft.com/office/spreadsheetml/2010/11/main" uri="{B97F6D7D-B522-45F9-BDA1-12C45D357490}">
          <x15:cacheHierarchy aggregatedColumn="5"/>
        </ext>
      </extLst>
    </cacheHierarchy>
    <cacheHierarchy uniqueName="[Measures].[Average of Age]" caption="Average of Age" measure="1" displayFolder="" measureGroup="Table2" count="0" hidden="1">
      <extLst>
        <ext xmlns:x15="http://schemas.microsoft.com/office/spreadsheetml/2010/11/main" uri="{B97F6D7D-B522-45F9-BDA1-12C45D357490}">
          <x15:cacheHierarchy aggregatedColumn="5"/>
        </ext>
      </extLst>
    </cacheHierarchy>
    <cacheHierarchy uniqueName="[Measures].[Sum of Treatment Cost]" caption="Sum of Treatment Cost" measure="1" displayFolder="" measureGroup="Table2" count="0" hidden="1">
      <extLst>
        <ext xmlns:x15="http://schemas.microsoft.com/office/spreadsheetml/2010/11/main" uri="{B97F6D7D-B522-45F9-BDA1-12C45D357490}">
          <x15:cacheHierarchy aggregatedColumn="7"/>
        </ext>
      </extLst>
    </cacheHierarchy>
    <cacheHierarchy uniqueName="[Measures].[Average of Treatment Cost]" caption="Average of Treatment Cost" measure="1" displayFolder="" measureGroup="Table2" count="0" hidden="1">
      <extLst>
        <ext xmlns:x15="http://schemas.microsoft.com/office/spreadsheetml/2010/11/main" uri="{B97F6D7D-B522-45F9-BDA1-12C45D357490}">
          <x15:cacheHierarchy aggregatedColumn="7"/>
        </ext>
      </extLst>
    </cacheHierarchy>
    <cacheHierarchy uniqueName="[Measures].[Sum of Hospital Stay (Days)]" caption="Sum of Hospital Stay (Days)" measure="1" displayFolder="" measureGroup="Table2" count="0" hidden="1">
      <extLst>
        <ext xmlns:x15="http://schemas.microsoft.com/office/spreadsheetml/2010/11/main" uri="{B97F6D7D-B522-45F9-BDA1-12C45D357490}">
          <x15:cacheHierarchy aggregatedColumn="8"/>
        </ext>
      </extLst>
    </cacheHierarchy>
    <cacheHierarchy uniqueName="[Measures].[Sum of Recovery Score]" caption="Sum of Recovery Score" measure="1" displayFolder="" measureGroup="Table2" count="0" hidden="1">
      <extLst>
        <ext xmlns:x15="http://schemas.microsoft.com/office/spreadsheetml/2010/11/main" uri="{B97F6D7D-B522-45F9-BDA1-12C45D357490}">
          <x15:cacheHierarchy aggregatedColumn="9"/>
        </ext>
      </extLst>
    </cacheHierarchy>
    <cacheHierarchy uniqueName="[Measures].[Average of Recovery Score]" caption="Average of Recovery Score" measure="1" displayFolder="" measureGroup="Table2" count="0" hidden="1">
      <extLst>
        <ext xmlns:x15="http://schemas.microsoft.com/office/spreadsheetml/2010/11/main" uri="{B97F6D7D-B522-45F9-BDA1-12C45D357490}">
          <x15:cacheHierarchy aggregatedColumn="9"/>
        </ext>
      </extLst>
    </cacheHierarchy>
    <cacheHierarchy uniqueName="[Measures].[Average of Hospital Stay (Days)]" caption="Average of Hospital Stay (Days)" measure="1" displayFolder="" measureGroup="Table2" count="0" hidden="1">
      <extLst>
        <ext xmlns:x15="http://schemas.microsoft.com/office/spreadsheetml/2010/11/main" uri="{B97F6D7D-B522-45F9-BDA1-12C45D357490}">
          <x15:cacheHierarchy aggregatedColumn="8"/>
        </ext>
      </extLst>
    </cacheHierarchy>
    <cacheHierarchy uniqueName="[Measures].[Count of Gender]" caption="Count of Gender" measure="1" displayFolder="" measureGroup="Table2" count="0" hidden="1">
      <extLst>
        <ext xmlns:x15="http://schemas.microsoft.com/office/spreadsheetml/2010/11/main" uri="{B97F6D7D-B522-45F9-BDA1-12C45D357490}">
          <x15:cacheHierarchy aggregatedColumn="4"/>
        </ext>
      </extLst>
    </cacheHierarchy>
    <cacheHierarchy uniqueName="[Measures].[Count of Treatment Cost]" caption="Count of Treatment Cost" measure="1" displayFolder="" measureGroup="Table2" count="0" hidden="1">
      <extLst>
        <ext xmlns:x15="http://schemas.microsoft.com/office/spreadsheetml/2010/11/main" uri="{B97F6D7D-B522-45F9-BDA1-12C45D357490}">
          <x15:cacheHierarchy aggregatedColumn="7"/>
        </ext>
      </extLst>
    </cacheHierarchy>
    <cacheHierarchy uniqueName="[Measures].[Min of Treatment Cost]" caption="Min of Treatment Cost" measure="1" displayFolder="" measureGroup="Table2" count="0" hidden="1">
      <extLst>
        <ext xmlns:x15="http://schemas.microsoft.com/office/spreadsheetml/2010/11/main" uri="{B97F6D7D-B522-45F9-BDA1-12C45D357490}">
          <x15:cacheHierarchy aggregatedColumn="7"/>
        </ext>
      </extLst>
    </cacheHierarchy>
    <cacheHierarchy uniqueName="[Measures].[Max of Treatment Cost]" caption="Max of Treatment Cost" measure="1" displayFolder="" measureGroup="Table2" count="0" hidden="1">
      <extLst>
        <ext xmlns:x15="http://schemas.microsoft.com/office/spreadsheetml/2010/11/main" uri="{B97F6D7D-B522-45F9-BDA1-12C45D357490}">
          <x15:cacheHierarchy aggregatedColumn="7"/>
        </ext>
      </extLst>
    </cacheHierarchy>
    <cacheHierarchy uniqueName="[Measures].[Min of Recovery Score]" caption="Min of Recovery Score" measure="1" displayFolder="" measureGroup="Table2" count="0" hidden="1">
      <extLst>
        <ext xmlns:x15="http://schemas.microsoft.com/office/spreadsheetml/2010/11/main" uri="{B97F6D7D-B522-45F9-BDA1-12C45D357490}">
          <x15:cacheHierarchy aggregatedColumn="9"/>
        </ext>
      </extLst>
    </cacheHierarchy>
    <cacheHierarchy uniqueName="[Measures].[Max of Recovery Score]" caption="Max of Recovery Score" measure="1" displayFolder="" measureGroup="Table2" count="0" hidden="1">
      <extLst>
        <ext xmlns:x15="http://schemas.microsoft.com/office/spreadsheetml/2010/11/main" uri="{B97F6D7D-B522-45F9-BDA1-12C45D357490}">
          <x15:cacheHierarchy aggregatedColumn="9"/>
        </ext>
      </extLst>
    </cacheHierarchy>
    <cacheHierarchy uniqueName="[Measures].[StdDev of Recovery Score]" caption="StdDev of Recovery Score" measure="1" displayFolder="" measureGroup="Table2" count="0" hidden="1">
      <extLst>
        <ext xmlns:x15="http://schemas.microsoft.com/office/spreadsheetml/2010/11/main" uri="{B97F6D7D-B522-45F9-BDA1-12C45D357490}">
          <x15:cacheHierarchy aggregatedColumn="9"/>
        </ext>
      </extLst>
    </cacheHierarchy>
    <cacheHierarchy uniqueName="[Measures].[Count of Recovery Score]" caption="Count of Recovery Score" measure="1" displayFolder="" measureGroup="Table2" count="0" hidden="1">
      <extLst>
        <ext xmlns:x15="http://schemas.microsoft.com/office/spreadsheetml/2010/11/main" uri="{B97F6D7D-B522-45F9-BDA1-12C45D357490}">
          <x15:cacheHierarchy aggregatedColumn="9"/>
        </ext>
      </extLst>
    </cacheHierarchy>
    <cacheHierarchy uniqueName="[Measures].[Min of Hospital Stay (Days)]" caption="Min of Hospital Stay (Days)" measure="1" displayFolder="" measureGroup="Table2" count="0" hidden="1">
      <extLst>
        <ext xmlns:x15="http://schemas.microsoft.com/office/spreadsheetml/2010/11/main" uri="{B97F6D7D-B522-45F9-BDA1-12C45D357490}">
          <x15:cacheHierarchy aggregatedColumn="8"/>
        </ext>
      </extLst>
    </cacheHierarchy>
    <cacheHierarchy uniqueName="[Measures].[Distinct Count of Hospital Stay (Days)]" caption="Distinct Count of Hospital Stay (Days)" measure="1" displayFolder="" measureGroup="Table2" count="0" hidden="1">
      <extLst>
        <ext xmlns:x15="http://schemas.microsoft.com/office/spreadsheetml/2010/11/main" uri="{B97F6D7D-B522-45F9-BDA1-12C45D357490}">
          <x15:cacheHierarchy aggregatedColumn="8"/>
        </ext>
      </extLst>
    </cacheHierarchy>
    <cacheHierarchy uniqueName="[Measures].[Count of Department]" caption="Count of Department" measure="1" displayFolder="" measureGroup="Table2" count="0" hidden="1">
      <extLst>
        <ext xmlns:x15="http://schemas.microsoft.com/office/spreadsheetml/2010/11/main" uri="{B97F6D7D-B522-45F9-BDA1-12C45D357490}">
          <x15:cacheHierarchy aggregatedColumn="1"/>
        </ext>
      </extLst>
    </cacheHierarchy>
    <cacheHierarchy uniqueName="[Measures].[Count of Treatment Type]" caption="Count of Treatment Type" measure="1" displayFolder="" measureGroup="Table2" count="0" hidden="1">
      <extLst>
        <ext xmlns:x15="http://schemas.microsoft.com/office/spreadsheetml/2010/11/main" uri="{B97F6D7D-B522-45F9-BDA1-12C45D357490}">
          <x15:cacheHierarchy aggregatedColumn="2"/>
        </ext>
      </extLst>
    </cacheHierarchy>
    <cacheHierarchy uniqueName="[Measures].[Max of Hospital Stay (Days)]" caption="Max of Hospital Stay (Days)" measure="1" displayFolder="" measureGroup="Table2"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kshanya M" refreshedDate="45964.904382523149" backgroundQuery="1" createdVersion="8" refreshedVersion="8" minRefreshableVersion="3" recordCount="0" supportSubquery="1" supportAdvancedDrill="1" xr:uid="{7A264871-4349-4CB3-BA92-BC4E72CAAF29}">
  <cacheSource type="external" connectionId="1"/>
  <cacheFields count="6">
    <cacheField name="[Measures].[Count of Patient ID]" caption="Count of Patient ID" numFmtId="0" hierarchy="12" level="32767"/>
    <cacheField name="[Measures].[Average of Age]" caption="Average of Age" numFmtId="0" hierarchy="14" level="32767"/>
    <cacheField name="[Measures].[Average of Treatment Cost]" caption="Average of Treatment Cost" numFmtId="0" hierarchy="16" level="32767"/>
    <cacheField name="[Measures].[Average of Recovery Score]" caption="Average of Recovery Score" numFmtId="0" hierarchy="19" level="32767"/>
    <cacheField name="[Measures].[Average of Hospital Stay (Days)]" caption="Average of Hospital Stay (Days)" numFmtId="0" hierarchy="20" level="32767"/>
    <cacheField name="[Table2].[Doctor Name].[Doctor Name]" caption="Doctor Name" numFmtId="0" hierarchy="3" level="1">
      <sharedItems containsSemiMixedTypes="0" containsNonDate="0" containsString="0"/>
    </cacheField>
  </cacheFields>
  <cacheHierarchies count="34">
    <cacheHierarchy uniqueName="[Table2].[Patient ID]" caption="Patient ID" attribute="1" defaultMemberUniqueName="[Table2].[Patient ID].[All]" allUniqueName="[Table2].[Patient ID].[All]" dimensionUniqueName="[Table2]" displayFolder="" count="0" memberValueDatatype="130" unbalanced="0"/>
    <cacheHierarchy uniqueName="[Table2].[Department]" caption="Department" attribute="1" defaultMemberUniqueName="[Table2].[Department].[All]" allUniqueName="[Table2].[Department].[All]" dimensionUniqueName="[Table2]" displayFolder="" count="2" memberValueDatatype="130" unbalanced="0"/>
    <cacheHierarchy uniqueName="[Table2].[Treatment Type]" caption="Treatment Type" attribute="1" defaultMemberUniqueName="[Table2].[Treatment Type].[All]" allUniqueName="[Table2].[Treatment Type].[All]" dimensionUniqueName="[Table2]" displayFolder="" count="2" memberValueDatatype="130" unbalanced="0"/>
    <cacheHierarchy uniqueName="[Table2].[Doctor Name]" caption="Doctor Name" attribute="1" defaultMemberUniqueName="[Table2].[Doctor Name].[All]" allUniqueName="[Table2].[Doctor Name].[All]" dimensionUniqueName="[Table2]" displayFolder="" count="2" memberValueDatatype="130" unbalanced="0">
      <fieldsUsage count="2">
        <fieldUsage x="-1"/>
        <fieldUsage x="5"/>
      </fieldsUsage>
    </cacheHierarchy>
    <cacheHierarchy uniqueName="[Table2].[Gender]" caption="Gender" attribute="1" defaultMemberUniqueName="[Table2].[Gender].[All]" allUniqueName="[Table2].[Gender].[All]" dimensionUniqueName="[Table2]" displayFolder="" count="2" memberValueDatatype="130" unbalanced="0"/>
    <cacheHierarchy uniqueName="[Table2].[Age]" caption="Age" attribute="1" defaultMemberUniqueName="[Table2].[Age].[All]" allUniqueName="[Table2].[Age].[All]" dimensionUniqueName="[Table2]" displayFolder="" count="0" memberValueDatatype="20" unbalanced="0"/>
    <cacheHierarchy uniqueName="[Table2].[Age Group]" caption="Age Group" attribute="1" defaultMemberUniqueName="[Table2].[Age Group].[All]" allUniqueName="[Table2].[Age Group].[All]" dimensionUniqueName="[Table2]" displayFolder="" count="0" memberValueDatatype="130" unbalanced="0"/>
    <cacheHierarchy uniqueName="[Table2].[Treatment Cost]" caption="Treatment Cost" attribute="1" defaultMemberUniqueName="[Table2].[Treatment Cost].[All]" allUniqueName="[Table2].[Treatment Cost].[All]" dimensionUniqueName="[Table2]" displayFolder="" count="0" memberValueDatatype="5" unbalanced="0"/>
    <cacheHierarchy uniqueName="[Table2].[Hospital Stay (Days)]" caption="Hospital Stay (Days)" attribute="1" defaultMemberUniqueName="[Table2].[Hospital Stay (Days)].[All]" allUniqueName="[Table2].[Hospital Stay (Days)].[All]" dimensionUniqueName="[Table2]" displayFolder="" count="0" memberValueDatatype="20" unbalanced="0"/>
    <cacheHierarchy uniqueName="[Table2].[Recovery Score]" caption="Recovery Score" attribute="1" defaultMemberUniqueName="[Table2].[Recovery Score].[All]" allUniqueName="[Table2].[Recovery Score].[All]" dimensionUniqueName="[Table2]" displayFolder="" count="0" memberValueDatatype="2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Patient ID]" caption="Count of Patient ID" measure="1" displayFolder="" measureGroup="Table2"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Age]" caption="Sum of Age" measure="1" displayFolder="" measureGroup="Table2" count="0" hidden="1">
      <extLst>
        <ext xmlns:x15="http://schemas.microsoft.com/office/spreadsheetml/2010/11/main" uri="{B97F6D7D-B522-45F9-BDA1-12C45D357490}">
          <x15:cacheHierarchy aggregatedColumn="5"/>
        </ext>
      </extLst>
    </cacheHierarchy>
    <cacheHierarchy uniqueName="[Measures].[Average of Age]" caption="Average of Age" measure="1" displayFolder="" measureGroup="Table2"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Treatment Cost]" caption="Sum of Treatment Cost" measure="1" displayFolder="" measureGroup="Table2" count="0" hidden="1">
      <extLst>
        <ext xmlns:x15="http://schemas.microsoft.com/office/spreadsheetml/2010/11/main" uri="{B97F6D7D-B522-45F9-BDA1-12C45D357490}">
          <x15:cacheHierarchy aggregatedColumn="7"/>
        </ext>
      </extLst>
    </cacheHierarchy>
    <cacheHierarchy uniqueName="[Measures].[Average of Treatment Cost]" caption="Average of Treatment Cost" measure="1" displayFolder="" measureGroup="Table2" count="0" oneField="1" hidden="1">
      <fieldsUsage count="1">
        <fieldUsage x="2"/>
      </fieldsUsage>
      <extLst>
        <ext xmlns:x15="http://schemas.microsoft.com/office/spreadsheetml/2010/11/main" uri="{B97F6D7D-B522-45F9-BDA1-12C45D357490}">
          <x15:cacheHierarchy aggregatedColumn="7"/>
        </ext>
      </extLst>
    </cacheHierarchy>
    <cacheHierarchy uniqueName="[Measures].[Sum of Hospital Stay (Days)]" caption="Sum of Hospital Stay (Days)" measure="1" displayFolder="" measureGroup="Table2" count="0" hidden="1">
      <extLst>
        <ext xmlns:x15="http://schemas.microsoft.com/office/spreadsheetml/2010/11/main" uri="{B97F6D7D-B522-45F9-BDA1-12C45D357490}">
          <x15:cacheHierarchy aggregatedColumn="8"/>
        </ext>
      </extLst>
    </cacheHierarchy>
    <cacheHierarchy uniqueName="[Measures].[Sum of Recovery Score]" caption="Sum of Recovery Score" measure="1" displayFolder="" measureGroup="Table2" count="0" hidden="1">
      <extLst>
        <ext xmlns:x15="http://schemas.microsoft.com/office/spreadsheetml/2010/11/main" uri="{B97F6D7D-B522-45F9-BDA1-12C45D357490}">
          <x15:cacheHierarchy aggregatedColumn="9"/>
        </ext>
      </extLst>
    </cacheHierarchy>
    <cacheHierarchy uniqueName="[Measures].[Average of Recovery Score]" caption="Average of Recovery Score" measure="1" displayFolder="" measureGroup="Table2" count="0" oneField="1" hidden="1">
      <fieldsUsage count="1">
        <fieldUsage x="3"/>
      </fieldsUsage>
      <extLst>
        <ext xmlns:x15="http://schemas.microsoft.com/office/spreadsheetml/2010/11/main" uri="{B97F6D7D-B522-45F9-BDA1-12C45D357490}">
          <x15:cacheHierarchy aggregatedColumn="9"/>
        </ext>
      </extLst>
    </cacheHierarchy>
    <cacheHierarchy uniqueName="[Measures].[Average of Hospital Stay (Days)]" caption="Average of Hospital Stay (Days)" measure="1" displayFolder="" measureGroup="Table2" count="0" oneField="1" hidden="1">
      <fieldsUsage count="1">
        <fieldUsage x="4"/>
      </fieldsUsage>
      <extLst>
        <ext xmlns:x15="http://schemas.microsoft.com/office/spreadsheetml/2010/11/main" uri="{B97F6D7D-B522-45F9-BDA1-12C45D357490}">
          <x15:cacheHierarchy aggregatedColumn="8"/>
        </ext>
      </extLst>
    </cacheHierarchy>
    <cacheHierarchy uniqueName="[Measures].[Count of Gender]" caption="Count of Gender" measure="1" displayFolder="" measureGroup="Table2" count="0" hidden="1">
      <extLst>
        <ext xmlns:x15="http://schemas.microsoft.com/office/spreadsheetml/2010/11/main" uri="{B97F6D7D-B522-45F9-BDA1-12C45D357490}">
          <x15:cacheHierarchy aggregatedColumn="4"/>
        </ext>
      </extLst>
    </cacheHierarchy>
    <cacheHierarchy uniqueName="[Measures].[Count of Treatment Cost]" caption="Count of Treatment Cost" measure="1" displayFolder="" measureGroup="Table2" count="0" hidden="1">
      <extLst>
        <ext xmlns:x15="http://schemas.microsoft.com/office/spreadsheetml/2010/11/main" uri="{B97F6D7D-B522-45F9-BDA1-12C45D357490}">
          <x15:cacheHierarchy aggregatedColumn="7"/>
        </ext>
      </extLst>
    </cacheHierarchy>
    <cacheHierarchy uniqueName="[Measures].[Min of Treatment Cost]" caption="Min of Treatment Cost" measure="1" displayFolder="" measureGroup="Table2" count="0" hidden="1">
      <extLst>
        <ext xmlns:x15="http://schemas.microsoft.com/office/spreadsheetml/2010/11/main" uri="{B97F6D7D-B522-45F9-BDA1-12C45D357490}">
          <x15:cacheHierarchy aggregatedColumn="7"/>
        </ext>
      </extLst>
    </cacheHierarchy>
    <cacheHierarchy uniqueName="[Measures].[Max of Treatment Cost]" caption="Max of Treatment Cost" measure="1" displayFolder="" measureGroup="Table2" count="0" hidden="1">
      <extLst>
        <ext xmlns:x15="http://schemas.microsoft.com/office/spreadsheetml/2010/11/main" uri="{B97F6D7D-B522-45F9-BDA1-12C45D357490}">
          <x15:cacheHierarchy aggregatedColumn="7"/>
        </ext>
      </extLst>
    </cacheHierarchy>
    <cacheHierarchy uniqueName="[Measures].[Min of Recovery Score]" caption="Min of Recovery Score" measure="1" displayFolder="" measureGroup="Table2" count="0" hidden="1">
      <extLst>
        <ext xmlns:x15="http://schemas.microsoft.com/office/spreadsheetml/2010/11/main" uri="{B97F6D7D-B522-45F9-BDA1-12C45D357490}">
          <x15:cacheHierarchy aggregatedColumn="9"/>
        </ext>
      </extLst>
    </cacheHierarchy>
    <cacheHierarchy uniqueName="[Measures].[Max of Recovery Score]" caption="Max of Recovery Score" measure="1" displayFolder="" measureGroup="Table2" count="0" hidden="1">
      <extLst>
        <ext xmlns:x15="http://schemas.microsoft.com/office/spreadsheetml/2010/11/main" uri="{B97F6D7D-B522-45F9-BDA1-12C45D357490}">
          <x15:cacheHierarchy aggregatedColumn="9"/>
        </ext>
      </extLst>
    </cacheHierarchy>
    <cacheHierarchy uniqueName="[Measures].[StdDev of Recovery Score]" caption="StdDev of Recovery Score" measure="1" displayFolder="" measureGroup="Table2" count="0" hidden="1">
      <extLst>
        <ext xmlns:x15="http://schemas.microsoft.com/office/spreadsheetml/2010/11/main" uri="{B97F6D7D-B522-45F9-BDA1-12C45D357490}">
          <x15:cacheHierarchy aggregatedColumn="9"/>
        </ext>
      </extLst>
    </cacheHierarchy>
    <cacheHierarchy uniqueName="[Measures].[Count of Recovery Score]" caption="Count of Recovery Score" measure="1" displayFolder="" measureGroup="Table2" count="0" hidden="1">
      <extLst>
        <ext xmlns:x15="http://schemas.microsoft.com/office/spreadsheetml/2010/11/main" uri="{B97F6D7D-B522-45F9-BDA1-12C45D357490}">
          <x15:cacheHierarchy aggregatedColumn="9"/>
        </ext>
      </extLst>
    </cacheHierarchy>
    <cacheHierarchy uniqueName="[Measures].[Min of Hospital Stay (Days)]" caption="Min of Hospital Stay (Days)" measure="1" displayFolder="" measureGroup="Table2" count="0" hidden="1">
      <extLst>
        <ext xmlns:x15="http://schemas.microsoft.com/office/spreadsheetml/2010/11/main" uri="{B97F6D7D-B522-45F9-BDA1-12C45D357490}">
          <x15:cacheHierarchy aggregatedColumn="8"/>
        </ext>
      </extLst>
    </cacheHierarchy>
    <cacheHierarchy uniqueName="[Measures].[Distinct Count of Hospital Stay (Days)]" caption="Distinct Count of Hospital Stay (Days)" measure="1" displayFolder="" measureGroup="Table2" count="0" hidden="1">
      <extLst>
        <ext xmlns:x15="http://schemas.microsoft.com/office/spreadsheetml/2010/11/main" uri="{B97F6D7D-B522-45F9-BDA1-12C45D357490}">
          <x15:cacheHierarchy aggregatedColumn="8"/>
        </ext>
      </extLst>
    </cacheHierarchy>
    <cacheHierarchy uniqueName="[Measures].[Count of Department]" caption="Count of Department" measure="1" displayFolder="" measureGroup="Table2" count="0" hidden="1">
      <extLst>
        <ext xmlns:x15="http://schemas.microsoft.com/office/spreadsheetml/2010/11/main" uri="{B97F6D7D-B522-45F9-BDA1-12C45D357490}">
          <x15:cacheHierarchy aggregatedColumn="1"/>
        </ext>
      </extLst>
    </cacheHierarchy>
    <cacheHierarchy uniqueName="[Measures].[Count of Treatment Type]" caption="Count of Treatment Type" measure="1" displayFolder="" measureGroup="Table2" count="0" hidden="1">
      <extLst>
        <ext xmlns:x15="http://schemas.microsoft.com/office/spreadsheetml/2010/11/main" uri="{B97F6D7D-B522-45F9-BDA1-12C45D357490}">
          <x15:cacheHierarchy aggregatedColumn="2"/>
        </ext>
      </extLst>
    </cacheHierarchy>
    <cacheHierarchy uniqueName="[Measures].[Max of Hospital Stay (Days)]" caption="Max of Hospital Stay (Days)" measure="1" displayFolder="" measureGroup="Table2"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kshanya M" refreshedDate="45964.904382870373" backgroundQuery="1" createdVersion="8" refreshedVersion="8" minRefreshableVersion="3" recordCount="0" supportSubquery="1" supportAdvancedDrill="1" xr:uid="{7AB0648E-D242-4BD2-A4E6-8FE88D68145B}">
  <cacheSource type="external" connectionId="1"/>
  <cacheFields count="3">
    <cacheField name="[Table2].[Treatment Type].[Treatment Type]" caption="Treatment Type" numFmtId="0" hierarchy="2" level="1">
      <sharedItems count="4">
        <s v="Medication"/>
        <s v="Observation"/>
        <s v="Surgery"/>
        <s v="Therapy"/>
      </sharedItems>
    </cacheField>
    <cacheField name="[Measures].[Average of Recovery Score]" caption="Average of Recovery Score" numFmtId="0" hierarchy="19" level="32767"/>
    <cacheField name="[Table2].[Doctor Name].[Doctor Name]" caption="Doctor Name" numFmtId="0" hierarchy="3" level="1">
      <sharedItems containsSemiMixedTypes="0" containsNonDate="0" containsString="0"/>
    </cacheField>
  </cacheFields>
  <cacheHierarchies count="34">
    <cacheHierarchy uniqueName="[Table2].[Patient ID]" caption="Patient ID" attribute="1" defaultMemberUniqueName="[Table2].[Patient ID].[All]" allUniqueName="[Table2].[Patient ID].[All]" dimensionUniqueName="[Table2]" displayFolder="" count="0" memberValueDatatype="130" unbalanced="0"/>
    <cacheHierarchy uniqueName="[Table2].[Department]" caption="Department" attribute="1" defaultMemberUniqueName="[Table2].[Department].[All]" allUniqueName="[Table2].[Department].[All]" dimensionUniqueName="[Table2]" displayFolder="" count="2" memberValueDatatype="130" unbalanced="0"/>
    <cacheHierarchy uniqueName="[Table2].[Treatment Type]" caption="Treatment Type" attribute="1" defaultMemberUniqueName="[Table2].[Treatment Type].[All]" allUniqueName="[Table2].[Treatment Type].[All]" dimensionUniqueName="[Table2]" displayFolder="" count="2" memberValueDatatype="130" unbalanced="0">
      <fieldsUsage count="2">
        <fieldUsage x="-1"/>
        <fieldUsage x="0"/>
      </fieldsUsage>
    </cacheHierarchy>
    <cacheHierarchy uniqueName="[Table2].[Doctor Name]" caption="Doctor Name" attribute="1" defaultMemberUniqueName="[Table2].[Doctor Name].[All]" allUniqueName="[Table2].[Doctor Name].[All]" dimensionUniqueName="[Table2]" displayFolder="" count="2" memberValueDatatype="130" unbalanced="0">
      <fieldsUsage count="2">
        <fieldUsage x="-1"/>
        <fieldUsage x="2"/>
      </fieldsUsage>
    </cacheHierarchy>
    <cacheHierarchy uniqueName="[Table2].[Gender]" caption="Gender" attribute="1" defaultMemberUniqueName="[Table2].[Gender].[All]" allUniqueName="[Table2].[Gender].[All]" dimensionUniqueName="[Table2]" displayFolder="" count="2" memberValueDatatype="130" unbalanced="0"/>
    <cacheHierarchy uniqueName="[Table2].[Age]" caption="Age" attribute="1" defaultMemberUniqueName="[Table2].[Age].[All]" allUniqueName="[Table2].[Age].[All]" dimensionUniqueName="[Table2]" displayFolder="" count="0" memberValueDatatype="20" unbalanced="0"/>
    <cacheHierarchy uniqueName="[Table2].[Age Group]" caption="Age Group" attribute="1" defaultMemberUniqueName="[Table2].[Age Group].[All]" allUniqueName="[Table2].[Age Group].[All]" dimensionUniqueName="[Table2]" displayFolder="" count="0" memberValueDatatype="130" unbalanced="0"/>
    <cacheHierarchy uniqueName="[Table2].[Treatment Cost]" caption="Treatment Cost" attribute="1" defaultMemberUniqueName="[Table2].[Treatment Cost].[All]" allUniqueName="[Table2].[Treatment Cost].[All]" dimensionUniqueName="[Table2]" displayFolder="" count="0" memberValueDatatype="5" unbalanced="0"/>
    <cacheHierarchy uniqueName="[Table2].[Hospital Stay (Days)]" caption="Hospital Stay (Days)" attribute="1" defaultMemberUniqueName="[Table2].[Hospital Stay (Days)].[All]" allUniqueName="[Table2].[Hospital Stay (Days)].[All]" dimensionUniqueName="[Table2]" displayFolder="" count="0" memberValueDatatype="20" unbalanced="0"/>
    <cacheHierarchy uniqueName="[Table2].[Recovery Score]" caption="Recovery Score" attribute="1" defaultMemberUniqueName="[Table2].[Recovery Score].[All]" allUniqueName="[Table2].[Recovery Score].[All]" dimensionUniqueName="[Table2]" displayFolder="" count="0" memberValueDatatype="2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Patient ID]" caption="Count of Patient ID" measure="1" displayFolder="" measureGroup="Table2"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Table2" count="0" hidden="1">
      <extLst>
        <ext xmlns:x15="http://schemas.microsoft.com/office/spreadsheetml/2010/11/main" uri="{B97F6D7D-B522-45F9-BDA1-12C45D357490}">
          <x15:cacheHierarchy aggregatedColumn="5"/>
        </ext>
      </extLst>
    </cacheHierarchy>
    <cacheHierarchy uniqueName="[Measures].[Average of Age]" caption="Average of Age" measure="1" displayFolder="" measureGroup="Table2" count="0" hidden="1">
      <extLst>
        <ext xmlns:x15="http://schemas.microsoft.com/office/spreadsheetml/2010/11/main" uri="{B97F6D7D-B522-45F9-BDA1-12C45D357490}">
          <x15:cacheHierarchy aggregatedColumn="5"/>
        </ext>
      </extLst>
    </cacheHierarchy>
    <cacheHierarchy uniqueName="[Measures].[Sum of Treatment Cost]" caption="Sum of Treatment Cost" measure="1" displayFolder="" measureGroup="Table2" count="0" hidden="1">
      <extLst>
        <ext xmlns:x15="http://schemas.microsoft.com/office/spreadsheetml/2010/11/main" uri="{B97F6D7D-B522-45F9-BDA1-12C45D357490}">
          <x15:cacheHierarchy aggregatedColumn="7"/>
        </ext>
      </extLst>
    </cacheHierarchy>
    <cacheHierarchy uniqueName="[Measures].[Average of Treatment Cost]" caption="Average of Treatment Cost" measure="1" displayFolder="" measureGroup="Table2" count="0" hidden="1">
      <extLst>
        <ext xmlns:x15="http://schemas.microsoft.com/office/spreadsheetml/2010/11/main" uri="{B97F6D7D-B522-45F9-BDA1-12C45D357490}">
          <x15:cacheHierarchy aggregatedColumn="7"/>
        </ext>
      </extLst>
    </cacheHierarchy>
    <cacheHierarchy uniqueName="[Measures].[Sum of Hospital Stay (Days)]" caption="Sum of Hospital Stay (Days)" measure="1" displayFolder="" measureGroup="Table2" count="0" hidden="1">
      <extLst>
        <ext xmlns:x15="http://schemas.microsoft.com/office/spreadsheetml/2010/11/main" uri="{B97F6D7D-B522-45F9-BDA1-12C45D357490}">
          <x15:cacheHierarchy aggregatedColumn="8"/>
        </ext>
      </extLst>
    </cacheHierarchy>
    <cacheHierarchy uniqueName="[Measures].[Sum of Recovery Score]" caption="Sum of Recovery Score" measure="1" displayFolder="" measureGroup="Table2" count="0" hidden="1">
      <extLst>
        <ext xmlns:x15="http://schemas.microsoft.com/office/spreadsheetml/2010/11/main" uri="{B97F6D7D-B522-45F9-BDA1-12C45D357490}">
          <x15:cacheHierarchy aggregatedColumn="9"/>
        </ext>
      </extLst>
    </cacheHierarchy>
    <cacheHierarchy uniqueName="[Measures].[Average of Recovery Score]" caption="Average of Recovery Score" measure="1" displayFolder="" measureGroup="Table2" count="0" oneField="1" hidden="1">
      <fieldsUsage count="1">
        <fieldUsage x="1"/>
      </fieldsUsage>
      <extLst>
        <ext xmlns:x15="http://schemas.microsoft.com/office/spreadsheetml/2010/11/main" uri="{B97F6D7D-B522-45F9-BDA1-12C45D357490}">
          <x15:cacheHierarchy aggregatedColumn="9"/>
        </ext>
      </extLst>
    </cacheHierarchy>
    <cacheHierarchy uniqueName="[Measures].[Average of Hospital Stay (Days)]" caption="Average of Hospital Stay (Days)" measure="1" displayFolder="" measureGroup="Table2" count="0" hidden="1">
      <extLst>
        <ext xmlns:x15="http://schemas.microsoft.com/office/spreadsheetml/2010/11/main" uri="{B97F6D7D-B522-45F9-BDA1-12C45D357490}">
          <x15:cacheHierarchy aggregatedColumn="8"/>
        </ext>
      </extLst>
    </cacheHierarchy>
    <cacheHierarchy uniqueName="[Measures].[Count of Gender]" caption="Count of Gender" measure="1" displayFolder="" measureGroup="Table2" count="0" hidden="1">
      <extLst>
        <ext xmlns:x15="http://schemas.microsoft.com/office/spreadsheetml/2010/11/main" uri="{B97F6D7D-B522-45F9-BDA1-12C45D357490}">
          <x15:cacheHierarchy aggregatedColumn="4"/>
        </ext>
      </extLst>
    </cacheHierarchy>
    <cacheHierarchy uniqueName="[Measures].[Count of Treatment Cost]" caption="Count of Treatment Cost" measure="1" displayFolder="" measureGroup="Table2" count="0" hidden="1">
      <extLst>
        <ext xmlns:x15="http://schemas.microsoft.com/office/spreadsheetml/2010/11/main" uri="{B97F6D7D-B522-45F9-BDA1-12C45D357490}">
          <x15:cacheHierarchy aggregatedColumn="7"/>
        </ext>
      </extLst>
    </cacheHierarchy>
    <cacheHierarchy uniqueName="[Measures].[Min of Treatment Cost]" caption="Min of Treatment Cost" measure="1" displayFolder="" measureGroup="Table2" count="0" hidden="1">
      <extLst>
        <ext xmlns:x15="http://schemas.microsoft.com/office/spreadsheetml/2010/11/main" uri="{B97F6D7D-B522-45F9-BDA1-12C45D357490}">
          <x15:cacheHierarchy aggregatedColumn="7"/>
        </ext>
      </extLst>
    </cacheHierarchy>
    <cacheHierarchy uniqueName="[Measures].[Max of Treatment Cost]" caption="Max of Treatment Cost" measure="1" displayFolder="" measureGroup="Table2" count="0" hidden="1">
      <extLst>
        <ext xmlns:x15="http://schemas.microsoft.com/office/spreadsheetml/2010/11/main" uri="{B97F6D7D-B522-45F9-BDA1-12C45D357490}">
          <x15:cacheHierarchy aggregatedColumn="7"/>
        </ext>
      </extLst>
    </cacheHierarchy>
    <cacheHierarchy uniqueName="[Measures].[Min of Recovery Score]" caption="Min of Recovery Score" measure="1" displayFolder="" measureGroup="Table2" count="0" hidden="1">
      <extLst>
        <ext xmlns:x15="http://schemas.microsoft.com/office/spreadsheetml/2010/11/main" uri="{B97F6D7D-B522-45F9-BDA1-12C45D357490}">
          <x15:cacheHierarchy aggregatedColumn="9"/>
        </ext>
      </extLst>
    </cacheHierarchy>
    <cacheHierarchy uniqueName="[Measures].[Max of Recovery Score]" caption="Max of Recovery Score" measure="1" displayFolder="" measureGroup="Table2" count="0" hidden="1">
      <extLst>
        <ext xmlns:x15="http://schemas.microsoft.com/office/spreadsheetml/2010/11/main" uri="{B97F6D7D-B522-45F9-BDA1-12C45D357490}">
          <x15:cacheHierarchy aggregatedColumn="9"/>
        </ext>
      </extLst>
    </cacheHierarchy>
    <cacheHierarchy uniqueName="[Measures].[StdDev of Recovery Score]" caption="StdDev of Recovery Score" measure="1" displayFolder="" measureGroup="Table2" count="0" hidden="1">
      <extLst>
        <ext xmlns:x15="http://schemas.microsoft.com/office/spreadsheetml/2010/11/main" uri="{B97F6D7D-B522-45F9-BDA1-12C45D357490}">
          <x15:cacheHierarchy aggregatedColumn="9"/>
        </ext>
      </extLst>
    </cacheHierarchy>
    <cacheHierarchy uniqueName="[Measures].[Count of Recovery Score]" caption="Count of Recovery Score" measure="1" displayFolder="" measureGroup="Table2" count="0" hidden="1">
      <extLst>
        <ext xmlns:x15="http://schemas.microsoft.com/office/spreadsheetml/2010/11/main" uri="{B97F6D7D-B522-45F9-BDA1-12C45D357490}">
          <x15:cacheHierarchy aggregatedColumn="9"/>
        </ext>
      </extLst>
    </cacheHierarchy>
    <cacheHierarchy uniqueName="[Measures].[Min of Hospital Stay (Days)]" caption="Min of Hospital Stay (Days)" measure="1" displayFolder="" measureGroup="Table2" count="0" hidden="1">
      <extLst>
        <ext xmlns:x15="http://schemas.microsoft.com/office/spreadsheetml/2010/11/main" uri="{B97F6D7D-B522-45F9-BDA1-12C45D357490}">
          <x15:cacheHierarchy aggregatedColumn="8"/>
        </ext>
      </extLst>
    </cacheHierarchy>
    <cacheHierarchy uniqueName="[Measures].[Distinct Count of Hospital Stay (Days)]" caption="Distinct Count of Hospital Stay (Days)" measure="1" displayFolder="" measureGroup="Table2" count="0" hidden="1">
      <extLst>
        <ext xmlns:x15="http://schemas.microsoft.com/office/spreadsheetml/2010/11/main" uri="{B97F6D7D-B522-45F9-BDA1-12C45D357490}">
          <x15:cacheHierarchy aggregatedColumn="8"/>
        </ext>
      </extLst>
    </cacheHierarchy>
    <cacheHierarchy uniqueName="[Measures].[Count of Department]" caption="Count of Department" measure="1" displayFolder="" measureGroup="Table2" count="0" hidden="1">
      <extLst>
        <ext xmlns:x15="http://schemas.microsoft.com/office/spreadsheetml/2010/11/main" uri="{B97F6D7D-B522-45F9-BDA1-12C45D357490}">
          <x15:cacheHierarchy aggregatedColumn="1"/>
        </ext>
      </extLst>
    </cacheHierarchy>
    <cacheHierarchy uniqueName="[Measures].[Count of Treatment Type]" caption="Count of Treatment Type" measure="1" displayFolder="" measureGroup="Table2" count="0" hidden="1">
      <extLst>
        <ext xmlns:x15="http://schemas.microsoft.com/office/spreadsheetml/2010/11/main" uri="{B97F6D7D-B522-45F9-BDA1-12C45D357490}">
          <x15:cacheHierarchy aggregatedColumn="2"/>
        </ext>
      </extLst>
    </cacheHierarchy>
    <cacheHierarchy uniqueName="[Measures].[Max of Hospital Stay (Days)]" caption="Max of Hospital Stay (Days)" measure="1" displayFolder="" measureGroup="Table2"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kshanya M" refreshedDate="45964.904383217596" backgroundQuery="1" createdVersion="8" refreshedVersion="8" minRefreshableVersion="3" recordCount="0" supportSubquery="1" supportAdvancedDrill="1" xr:uid="{E80027C4-1F5E-4103-9D10-A51B9D28FB2D}">
  <cacheSource type="external" connectionId="1"/>
  <cacheFields count="3">
    <cacheField name="[Table2].[Department].[Department]" caption="Department" numFmtId="0" hierarchy="1" level="1">
      <sharedItems count="6">
        <s v="Cardiology"/>
        <s v="Gastroenterology"/>
        <s v="Neurology"/>
        <s v="Oncology"/>
        <s v="Orthopedics"/>
        <s v="Pediatrics"/>
      </sharedItems>
    </cacheField>
    <cacheField name="[Measures].[Average of Age]" caption="Average of Age" numFmtId="0" hierarchy="14" level="32767"/>
    <cacheField name="[Table2].[Doctor Name].[Doctor Name]" caption="Doctor Name" numFmtId="0" hierarchy="3" level="1">
      <sharedItems containsSemiMixedTypes="0" containsNonDate="0" containsString="0"/>
    </cacheField>
  </cacheFields>
  <cacheHierarchies count="34">
    <cacheHierarchy uniqueName="[Table2].[Patient ID]" caption="Patient ID" attribute="1" defaultMemberUniqueName="[Table2].[Patient ID].[All]" allUniqueName="[Table2].[Patient ID].[All]" dimensionUniqueName="[Table2]" displayFolder="" count="0" memberValueDatatype="130" unbalanced="0"/>
    <cacheHierarchy uniqueName="[Table2].[Department]" caption="Department" attribute="1" defaultMemberUniqueName="[Table2].[Department].[All]" allUniqueName="[Table2].[Department].[All]" dimensionUniqueName="[Table2]" displayFolder="" count="2" memberValueDatatype="130" unbalanced="0">
      <fieldsUsage count="2">
        <fieldUsage x="-1"/>
        <fieldUsage x="0"/>
      </fieldsUsage>
    </cacheHierarchy>
    <cacheHierarchy uniqueName="[Table2].[Treatment Type]" caption="Treatment Type" attribute="1" defaultMemberUniqueName="[Table2].[Treatment Type].[All]" allUniqueName="[Table2].[Treatment Type].[All]" dimensionUniqueName="[Table2]" displayFolder="" count="2" memberValueDatatype="130" unbalanced="0"/>
    <cacheHierarchy uniqueName="[Table2].[Doctor Name]" caption="Doctor Name" attribute="1" defaultMemberUniqueName="[Table2].[Doctor Name].[All]" allUniqueName="[Table2].[Doctor Name].[All]" dimensionUniqueName="[Table2]" displayFolder="" count="2" memberValueDatatype="130" unbalanced="0">
      <fieldsUsage count="2">
        <fieldUsage x="-1"/>
        <fieldUsage x="2"/>
      </fieldsUsage>
    </cacheHierarchy>
    <cacheHierarchy uniqueName="[Table2].[Gender]" caption="Gender" attribute="1" defaultMemberUniqueName="[Table2].[Gender].[All]" allUniqueName="[Table2].[Gender].[All]" dimensionUniqueName="[Table2]" displayFolder="" count="2" memberValueDatatype="130" unbalanced="0"/>
    <cacheHierarchy uniqueName="[Table2].[Age]" caption="Age" attribute="1" defaultMemberUniqueName="[Table2].[Age].[All]" allUniqueName="[Table2].[Age].[All]" dimensionUniqueName="[Table2]" displayFolder="" count="0" memberValueDatatype="20" unbalanced="0"/>
    <cacheHierarchy uniqueName="[Table2].[Age Group]" caption="Age Group" attribute="1" defaultMemberUniqueName="[Table2].[Age Group].[All]" allUniqueName="[Table2].[Age Group].[All]" dimensionUniqueName="[Table2]" displayFolder="" count="0" memberValueDatatype="130" unbalanced="0"/>
    <cacheHierarchy uniqueName="[Table2].[Treatment Cost]" caption="Treatment Cost" attribute="1" defaultMemberUniqueName="[Table2].[Treatment Cost].[All]" allUniqueName="[Table2].[Treatment Cost].[All]" dimensionUniqueName="[Table2]" displayFolder="" count="0" memberValueDatatype="5" unbalanced="0"/>
    <cacheHierarchy uniqueName="[Table2].[Hospital Stay (Days)]" caption="Hospital Stay (Days)" attribute="1" defaultMemberUniqueName="[Table2].[Hospital Stay (Days)].[All]" allUniqueName="[Table2].[Hospital Stay (Days)].[All]" dimensionUniqueName="[Table2]" displayFolder="" count="0" memberValueDatatype="20" unbalanced="0"/>
    <cacheHierarchy uniqueName="[Table2].[Recovery Score]" caption="Recovery Score" attribute="1" defaultMemberUniqueName="[Table2].[Recovery Score].[All]" allUniqueName="[Table2].[Recovery Score].[All]" dimensionUniqueName="[Table2]" displayFolder="" count="0" memberValueDatatype="2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Patient ID]" caption="Count of Patient ID" measure="1" displayFolder="" measureGroup="Table2"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Table2" count="0" hidden="1">
      <extLst>
        <ext xmlns:x15="http://schemas.microsoft.com/office/spreadsheetml/2010/11/main" uri="{B97F6D7D-B522-45F9-BDA1-12C45D357490}">
          <x15:cacheHierarchy aggregatedColumn="5"/>
        </ext>
      </extLst>
    </cacheHierarchy>
    <cacheHierarchy uniqueName="[Measures].[Average of Age]" caption="Average of Age" measure="1" displayFolder="" measureGroup="Table2"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Treatment Cost]" caption="Sum of Treatment Cost" measure="1" displayFolder="" measureGroup="Table2" count="0" hidden="1">
      <extLst>
        <ext xmlns:x15="http://schemas.microsoft.com/office/spreadsheetml/2010/11/main" uri="{B97F6D7D-B522-45F9-BDA1-12C45D357490}">
          <x15:cacheHierarchy aggregatedColumn="7"/>
        </ext>
      </extLst>
    </cacheHierarchy>
    <cacheHierarchy uniqueName="[Measures].[Average of Treatment Cost]" caption="Average of Treatment Cost" measure="1" displayFolder="" measureGroup="Table2" count="0" hidden="1">
      <extLst>
        <ext xmlns:x15="http://schemas.microsoft.com/office/spreadsheetml/2010/11/main" uri="{B97F6D7D-B522-45F9-BDA1-12C45D357490}">
          <x15:cacheHierarchy aggregatedColumn="7"/>
        </ext>
      </extLst>
    </cacheHierarchy>
    <cacheHierarchy uniqueName="[Measures].[Sum of Hospital Stay (Days)]" caption="Sum of Hospital Stay (Days)" measure="1" displayFolder="" measureGroup="Table2" count="0" hidden="1">
      <extLst>
        <ext xmlns:x15="http://schemas.microsoft.com/office/spreadsheetml/2010/11/main" uri="{B97F6D7D-B522-45F9-BDA1-12C45D357490}">
          <x15:cacheHierarchy aggregatedColumn="8"/>
        </ext>
      </extLst>
    </cacheHierarchy>
    <cacheHierarchy uniqueName="[Measures].[Sum of Recovery Score]" caption="Sum of Recovery Score" measure="1" displayFolder="" measureGroup="Table2" count="0" hidden="1">
      <extLst>
        <ext xmlns:x15="http://schemas.microsoft.com/office/spreadsheetml/2010/11/main" uri="{B97F6D7D-B522-45F9-BDA1-12C45D357490}">
          <x15:cacheHierarchy aggregatedColumn="9"/>
        </ext>
      </extLst>
    </cacheHierarchy>
    <cacheHierarchy uniqueName="[Measures].[Average of Recovery Score]" caption="Average of Recovery Score" measure="1" displayFolder="" measureGroup="Table2" count="0" hidden="1">
      <extLst>
        <ext xmlns:x15="http://schemas.microsoft.com/office/spreadsheetml/2010/11/main" uri="{B97F6D7D-B522-45F9-BDA1-12C45D357490}">
          <x15:cacheHierarchy aggregatedColumn="9"/>
        </ext>
      </extLst>
    </cacheHierarchy>
    <cacheHierarchy uniqueName="[Measures].[Average of Hospital Stay (Days)]" caption="Average of Hospital Stay (Days)" measure="1" displayFolder="" measureGroup="Table2" count="0" hidden="1">
      <extLst>
        <ext xmlns:x15="http://schemas.microsoft.com/office/spreadsheetml/2010/11/main" uri="{B97F6D7D-B522-45F9-BDA1-12C45D357490}">
          <x15:cacheHierarchy aggregatedColumn="8"/>
        </ext>
      </extLst>
    </cacheHierarchy>
    <cacheHierarchy uniqueName="[Measures].[Count of Gender]" caption="Count of Gender" measure="1" displayFolder="" measureGroup="Table2" count="0" hidden="1">
      <extLst>
        <ext xmlns:x15="http://schemas.microsoft.com/office/spreadsheetml/2010/11/main" uri="{B97F6D7D-B522-45F9-BDA1-12C45D357490}">
          <x15:cacheHierarchy aggregatedColumn="4"/>
        </ext>
      </extLst>
    </cacheHierarchy>
    <cacheHierarchy uniqueName="[Measures].[Count of Treatment Cost]" caption="Count of Treatment Cost" measure="1" displayFolder="" measureGroup="Table2" count="0" hidden="1">
      <extLst>
        <ext xmlns:x15="http://schemas.microsoft.com/office/spreadsheetml/2010/11/main" uri="{B97F6D7D-B522-45F9-BDA1-12C45D357490}">
          <x15:cacheHierarchy aggregatedColumn="7"/>
        </ext>
      </extLst>
    </cacheHierarchy>
    <cacheHierarchy uniqueName="[Measures].[Min of Treatment Cost]" caption="Min of Treatment Cost" measure="1" displayFolder="" measureGroup="Table2" count="0" hidden="1">
      <extLst>
        <ext xmlns:x15="http://schemas.microsoft.com/office/spreadsheetml/2010/11/main" uri="{B97F6D7D-B522-45F9-BDA1-12C45D357490}">
          <x15:cacheHierarchy aggregatedColumn="7"/>
        </ext>
      </extLst>
    </cacheHierarchy>
    <cacheHierarchy uniqueName="[Measures].[Max of Treatment Cost]" caption="Max of Treatment Cost" measure="1" displayFolder="" measureGroup="Table2" count="0" hidden="1">
      <extLst>
        <ext xmlns:x15="http://schemas.microsoft.com/office/spreadsheetml/2010/11/main" uri="{B97F6D7D-B522-45F9-BDA1-12C45D357490}">
          <x15:cacheHierarchy aggregatedColumn="7"/>
        </ext>
      </extLst>
    </cacheHierarchy>
    <cacheHierarchy uniqueName="[Measures].[Min of Recovery Score]" caption="Min of Recovery Score" measure="1" displayFolder="" measureGroup="Table2" count="0" hidden="1">
      <extLst>
        <ext xmlns:x15="http://schemas.microsoft.com/office/spreadsheetml/2010/11/main" uri="{B97F6D7D-B522-45F9-BDA1-12C45D357490}">
          <x15:cacheHierarchy aggregatedColumn="9"/>
        </ext>
      </extLst>
    </cacheHierarchy>
    <cacheHierarchy uniqueName="[Measures].[Max of Recovery Score]" caption="Max of Recovery Score" measure="1" displayFolder="" measureGroup="Table2" count="0" hidden="1">
      <extLst>
        <ext xmlns:x15="http://schemas.microsoft.com/office/spreadsheetml/2010/11/main" uri="{B97F6D7D-B522-45F9-BDA1-12C45D357490}">
          <x15:cacheHierarchy aggregatedColumn="9"/>
        </ext>
      </extLst>
    </cacheHierarchy>
    <cacheHierarchy uniqueName="[Measures].[StdDev of Recovery Score]" caption="StdDev of Recovery Score" measure="1" displayFolder="" measureGroup="Table2" count="0" hidden="1">
      <extLst>
        <ext xmlns:x15="http://schemas.microsoft.com/office/spreadsheetml/2010/11/main" uri="{B97F6D7D-B522-45F9-BDA1-12C45D357490}">
          <x15:cacheHierarchy aggregatedColumn="9"/>
        </ext>
      </extLst>
    </cacheHierarchy>
    <cacheHierarchy uniqueName="[Measures].[Count of Recovery Score]" caption="Count of Recovery Score" measure="1" displayFolder="" measureGroup="Table2" count="0" hidden="1">
      <extLst>
        <ext xmlns:x15="http://schemas.microsoft.com/office/spreadsheetml/2010/11/main" uri="{B97F6D7D-B522-45F9-BDA1-12C45D357490}">
          <x15:cacheHierarchy aggregatedColumn="9"/>
        </ext>
      </extLst>
    </cacheHierarchy>
    <cacheHierarchy uniqueName="[Measures].[Min of Hospital Stay (Days)]" caption="Min of Hospital Stay (Days)" measure="1" displayFolder="" measureGroup="Table2" count="0" hidden="1">
      <extLst>
        <ext xmlns:x15="http://schemas.microsoft.com/office/spreadsheetml/2010/11/main" uri="{B97F6D7D-B522-45F9-BDA1-12C45D357490}">
          <x15:cacheHierarchy aggregatedColumn="8"/>
        </ext>
      </extLst>
    </cacheHierarchy>
    <cacheHierarchy uniqueName="[Measures].[Distinct Count of Hospital Stay (Days)]" caption="Distinct Count of Hospital Stay (Days)" measure="1" displayFolder="" measureGroup="Table2" count="0" hidden="1">
      <extLst>
        <ext xmlns:x15="http://schemas.microsoft.com/office/spreadsheetml/2010/11/main" uri="{B97F6D7D-B522-45F9-BDA1-12C45D357490}">
          <x15:cacheHierarchy aggregatedColumn="8"/>
        </ext>
      </extLst>
    </cacheHierarchy>
    <cacheHierarchy uniqueName="[Measures].[Count of Department]" caption="Count of Department" measure="1" displayFolder="" measureGroup="Table2" count="0" hidden="1">
      <extLst>
        <ext xmlns:x15="http://schemas.microsoft.com/office/spreadsheetml/2010/11/main" uri="{B97F6D7D-B522-45F9-BDA1-12C45D357490}">
          <x15:cacheHierarchy aggregatedColumn="1"/>
        </ext>
      </extLst>
    </cacheHierarchy>
    <cacheHierarchy uniqueName="[Measures].[Count of Treatment Type]" caption="Count of Treatment Type" measure="1" displayFolder="" measureGroup="Table2" count="0" hidden="1">
      <extLst>
        <ext xmlns:x15="http://schemas.microsoft.com/office/spreadsheetml/2010/11/main" uri="{B97F6D7D-B522-45F9-BDA1-12C45D357490}">
          <x15:cacheHierarchy aggregatedColumn="2"/>
        </ext>
      </extLst>
    </cacheHierarchy>
    <cacheHierarchy uniqueName="[Measures].[Max of Hospital Stay (Days)]" caption="Max of Hospital Stay (Days)" measure="1" displayFolder="" measureGroup="Table2"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kshanya M" refreshedDate="45964.904383680558" backgroundQuery="1" createdVersion="8" refreshedVersion="8" minRefreshableVersion="3" recordCount="0" supportSubquery="1" supportAdvancedDrill="1" xr:uid="{39621912-0C22-4871-8773-F9EB6D837E56}">
  <cacheSource type="external" connectionId="1"/>
  <cacheFields count="3">
    <cacheField name="[Measures].[Average of Age]" caption="Average of Age" numFmtId="0" hierarchy="14" level="32767"/>
    <cacheField name="[Table2].[Treatment Type].[Treatment Type]" caption="Treatment Type" numFmtId="0" hierarchy="2" level="1">
      <sharedItems count="4">
        <s v="Medication"/>
        <s v="Observation"/>
        <s v="Surgery"/>
        <s v="Therapy"/>
      </sharedItems>
    </cacheField>
    <cacheField name="[Table2].[Doctor Name].[Doctor Name]" caption="Doctor Name" numFmtId="0" hierarchy="3" level="1">
      <sharedItems containsSemiMixedTypes="0" containsNonDate="0" containsString="0"/>
    </cacheField>
  </cacheFields>
  <cacheHierarchies count="34">
    <cacheHierarchy uniqueName="[Table2].[Patient ID]" caption="Patient ID" attribute="1" defaultMemberUniqueName="[Table2].[Patient ID].[All]" allUniqueName="[Table2].[Patient ID].[All]" dimensionUniqueName="[Table2]" displayFolder="" count="0" memberValueDatatype="130" unbalanced="0"/>
    <cacheHierarchy uniqueName="[Table2].[Department]" caption="Department" attribute="1" defaultMemberUniqueName="[Table2].[Department].[All]" allUniqueName="[Table2].[Department].[All]" dimensionUniqueName="[Table2]" displayFolder="" count="2" memberValueDatatype="130" unbalanced="0"/>
    <cacheHierarchy uniqueName="[Table2].[Treatment Type]" caption="Treatment Type" attribute="1" defaultMemberUniqueName="[Table2].[Treatment Type].[All]" allUniqueName="[Table2].[Treatment Type].[All]" dimensionUniqueName="[Table2]" displayFolder="" count="2" memberValueDatatype="130" unbalanced="0">
      <fieldsUsage count="2">
        <fieldUsage x="-1"/>
        <fieldUsage x="1"/>
      </fieldsUsage>
    </cacheHierarchy>
    <cacheHierarchy uniqueName="[Table2].[Doctor Name]" caption="Doctor Name" attribute="1" defaultMemberUniqueName="[Table2].[Doctor Name].[All]" allUniqueName="[Table2].[Doctor Name].[All]" dimensionUniqueName="[Table2]" displayFolder="" count="2" memberValueDatatype="130" unbalanced="0">
      <fieldsUsage count="2">
        <fieldUsage x="-1"/>
        <fieldUsage x="2"/>
      </fieldsUsage>
    </cacheHierarchy>
    <cacheHierarchy uniqueName="[Table2].[Gender]" caption="Gender" attribute="1" defaultMemberUniqueName="[Table2].[Gender].[All]" allUniqueName="[Table2].[Gender].[All]" dimensionUniqueName="[Table2]" displayFolder="" count="2" memberValueDatatype="130" unbalanced="0"/>
    <cacheHierarchy uniqueName="[Table2].[Age]" caption="Age" attribute="1" defaultMemberUniqueName="[Table2].[Age].[All]" allUniqueName="[Table2].[Age].[All]" dimensionUniqueName="[Table2]" displayFolder="" count="0" memberValueDatatype="20" unbalanced="0"/>
    <cacheHierarchy uniqueName="[Table2].[Age Group]" caption="Age Group" attribute="1" defaultMemberUniqueName="[Table2].[Age Group].[All]" allUniqueName="[Table2].[Age Group].[All]" dimensionUniqueName="[Table2]" displayFolder="" count="0" memberValueDatatype="130" unbalanced="0"/>
    <cacheHierarchy uniqueName="[Table2].[Treatment Cost]" caption="Treatment Cost" attribute="1" defaultMemberUniqueName="[Table2].[Treatment Cost].[All]" allUniqueName="[Table2].[Treatment Cost].[All]" dimensionUniqueName="[Table2]" displayFolder="" count="0" memberValueDatatype="5" unbalanced="0"/>
    <cacheHierarchy uniqueName="[Table2].[Hospital Stay (Days)]" caption="Hospital Stay (Days)" attribute="1" defaultMemberUniqueName="[Table2].[Hospital Stay (Days)].[All]" allUniqueName="[Table2].[Hospital Stay (Days)].[All]" dimensionUniqueName="[Table2]" displayFolder="" count="0" memberValueDatatype="20" unbalanced="0"/>
    <cacheHierarchy uniqueName="[Table2].[Recovery Score]" caption="Recovery Score" attribute="1" defaultMemberUniqueName="[Table2].[Recovery Score].[All]" allUniqueName="[Table2].[Recovery Score].[All]" dimensionUniqueName="[Table2]" displayFolder="" count="0" memberValueDatatype="2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Patient ID]" caption="Count of Patient ID" measure="1" displayFolder="" measureGroup="Table2"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Table2" count="0" hidden="1">
      <extLst>
        <ext xmlns:x15="http://schemas.microsoft.com/office/spreadsheetml/2010/11/main" uri="{B97F6D7D-B522-45F9-BDA1-12C45D357490}">
          <x15:cacheHierarchy aggregatedColumn="5"/>
        </ext>
      </extLst>
    </cacheHierarchy>
    <cacheHierarchy uniqueName="[Measures].[Average of Age]" caption="Average of Age" measure="1" displayFolder="" measureGroup="Table2"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Treatment Cost]" caption="Sum of Treatment Cost" measure="1" displayFolder="" measureGroup="Table2" count="0" hidden="1">
      <extLst>
        <ext xmlns:x15="http://schemas.microsoft.com/office/spreadsheetml/2010/11/main" uri="{B97F6D7D-B522-45F9-BDA1-12C45D357490}">
          <x15:cacheHierarchy aggregatedColumn="7"/>
        </ext>
      </extLst>
    </cacheHierarchy>
    <cacheHierarchy uniqueName="[Measures].[Average of Treatment Cost]" caption="Average of Treatment Cost" measure="1" displayFolder="" measureGroup="Table2" count="0" hidden="1">
      <extLst>
        <ext xmlns:x15="http://schemas.microsoft.com/office/spreadsheetml/2010/11/main" uri="{B97F6D7D-B522-45F9-BDA1-12C45D357490}">
          <x15:cacheHierarchy aggregatedColumn="7"/>
        </ext>
      </extLst>
    </cacheHierarchy>
    <cacheHierarchy uniqueName="[Measures].[Sum of Hospital Stay (Days)]" caption="Sum of Hospital Stay (Days)" measure="1" displayFolder="" measureGroup="Table2" count="0" hidden="1">
      <extLst>
        <ext xmlns:x15="http://schemas.microsoft.com/office/spreadsheetml/2010/11/main" uri="{B97F6D7D-B522-45F9-BDA1-12C45D357490}">
          <x15:cacheHierarchy aggregatedColumn="8"/>
        </ext>
      </extLst>
    </cacheHierarchy>
    <cacheHierarchy uniqueName="[Measures].[Sum of Recovery Score]" caption="Sum of Recovery Score" measure="1" displayFolder="" measureGroup="Table2" count="0" hidden="1">
      <extLst>
        <ext xmlns:x15="http://schemas.microsoft.com/office/spreadsheetml/2010/11/main" uri="{B97F6D7D-B522-45F9-BDA1-12C45D357490}">
          <x15:cacheHierarchy aggregatedColumn="9"/>
        </ext>
      </extLst>
    </cacheHierarchy>
    <cacheHierarchy uniqueName="[Measures].[Average of Recovery Score]" caption="Average of Recovery Score" measure="1" displayFolder="" measureGroup="Table2" count="0" hidden="1">
      <extLst>
        <ext xmlns:x15="http://schemas.microsoft.com/office/spreadsheetml/2010/11/main" uri="{B97F6D7D-B522-45F9-BDA1-12C45D357490}">
          <x15:cacheHierarchy aggregatedColumn="9"/>
        </ext>
      </extLst>
    </cacheHierarchy>
    <cacheHierarchy uniqueName="[Measures].[Average of Hospital Stay (Days)]" caption="Average of Hospital Stay (Days)" measure="1" displayFolder="" measureGroup="Table2" count="0" hidden="1">
      <extLst>
        <ext xmlns:x15="http://schemas.microsoft.com/office/spreadsheetml/2010/11/main" uri="{B97F6D7D-B522-45F9-BDA1-12C45D357490}">
          <x15:cacheHierarchy aggregatedColumn="8"/>
        </ext>
      </extLst>
    </cacheHierarchy>
    <cacheHierarchy uniqueName="[Measures].[Count of Gender]" caption="Count of Gender" measure="1" displayFolder="" measureGroup="Table2" count="0" hidden="1">
      <extLst>
        <ext xmlns:x15="http://schemas.microsoft.com/office/spreadsheetml/2010/11/main" uri="{B97F6D7D-B522-45F9-BDA1-12C45D357490}">
          <x15:cacheHierarchy aggregatedColumn="4"/>
        </ext>
      </extLst>
    </cacheHierarchy>
    <cacheHierarchy uniqueName="[Measures].[Count of Treatment Cost]" caption="Count of Treatment Cost" measure="1" displayFolder="" measureGroup="Table2" count="0" hidden="1">
      <extLst>
        <ext xmlns:x15="http://schemas.microsoft.com/office/spreadsheetml/2010/11/main" uri="{B97F6D7D-B522-45F9-BDA1-12C45D357490}">
          <x15:cacheHierarchy aggregatedColumn="7"/>
        </ext>
      </extLst>
    </cacheHierarchy>
    <cacheHierarchy uniqueName="[Measures].[Min of Treatment Cost]" caption="Min of Treatment Cost" measure="1" displayFolder="" measureGroup="Table2" count="0" hidden="1">
      <extLst>
        <ext xmlns:x15="http://schemas.microsoft.com/office/spreadsheetml/2010/11/main" uri="{B97F6D7D-B522-45F9-BDA1-12C45D357490}">
          <x15:cacheHierarchy aggregatedColumn="7"/>
        </ext>
      </extLst>
    </cacheHierarchy>
    <cacheHierarchy uniqueName="[Measures].[Max of Treatment Cost]" caption="Max of Treatment Cost" measure="1" displayFolder="" measureGroup="Table2" count="0" hidden="1">
      <extLst>
        <ext xmlns:x15="http://schemas.microsoft.com/office/spreadsheetml/2010/11/main" uri="{B97F6D7D-B522-45F9-BDA1-12C45D357490}">
          <x15:cacheHierarchy aggregatedColumn="7"/>
        </ext>
      </extLst>
    </cacheHierarchy>
    <cacheHierarchy uniqueName="[Measures].[Min of Recovery Score]" caption="Min of Recovery Score" measure="1" displayFolder="" measureGroup="Table2" count="0" hidden="1">
      <extLst>
        <ext xmlns:x15="http://schemas.microsoft.com/office/spreadsheetml/2010/11/main" uri="{B97F6D7D-B522-45F9-BDA1-12C45D357490}">
          <x15:cacheHierarchy aggregatedColumn="9"/>
        </ext>
      </extLst>
    </cacheHierarchy>
    <cacheHierarchy uniqueName="[Measures].[Max of Recovery Score]" caption="Max of Recovery Score" measure="1" displayFolder="" measureGroup="Table2" count="0" hidden="1">
      <extLst>
        <ext xmlns:x15="http://schemas.microsoft.com/office/spreadsheetml/2010/11/main" uri="{B97F6D7D-B522-45F9-BDA1-12C45D357490}">
          <x15:cacheHierarchy aggregatedColumn="9"/>
        </ext>
      </extLst>
    </cacheHierarchy>
    <cacheHierarchy uniqueName="[Measures].[StdDev of Recovery Score]" caption="StdDev of Recovery Score" measure="1" displayFolder="" measureGroup="Table2" count="0" hidden="1">
      <extLst>
        <ext xmlns:x15="http://schemas.microsoft.com/office/spreadsheetml/2010/11/main" uri="{B97F6D7D-B522-45F9-BDA1-12C45D357490}">
          <x15:cacheHierarchy aggregatedColumn="9"/>
        </ext>
      </extLst>
    </cacheHierarchy>
    <cacheHierarchy uniqueName="[Measures].[Count of Recovery Score]" caption="Count of Recovery Score" measure="1" displayFolder="" measureGroup="Table2" count="0" hidden="1">
      <extLst>
        <ext xmlns:x15="http://schemas.microsoft.com/office/spreadsheetml/2010/11/main" uri="{B97F6D7D-B522-45F9-BDA1-12C45D357490}">
          <x15:cacheHierarchy aggregatedColumn="9"/>
        </ext>
      </extLst>
    </cacheHierarchy>
    <cacheHierarchy uniqueName="[Measures].[Min of Hospital Stay (Days)]" caption="Min of Hospital Stay (Days)" measure="1" displayFolder="" measureGroup="Table2" count="0" hidden="1">
      <extLst>
        <ext xmlns:x15="http://schemas.microsoft.com/office/spreadsheetml/2010/11/main" uri="{B97F6D7D-B522-45F9-BDA1-12C45D357490}">
          <x15:cacheHierarchy aggregatedColumn="8"/>
        </ext>
      </extLst>
    </cacheHierarchy>
    <cacheHierarchy uniqueName="[Measures].[Distinct Count of Hospital Stay (Days)]" caption="Distinct Count of Hospital Stay (Days)" measure="1" displayFolder="" measureGroup="Table2" count="0" hidden="1">
      <extLst>
        <ext xmlns:x15="http://schemas.microsoft.com/office/spreadsheetml/2010/11/main" uri="{B97F6D7D-B522-45F9-BDA1-12C45D357490}">
          <x15:cacheHierarchy aggregatedColumn="8"/>
        </ext>
      </extLst>
    </cacheHierarchy>
    <cacheHierarchy uniqueName="[Measures].[Count of Department]" caption="Count of Department" measure="1" displayFolder="" measureGroup="Table2" count="0" hidden="1">
      <extLst>
        <ext xmlns:x15="http://schemas.microsoft.com/office/spreadsheetml/2010/11/main" uri="{B97F6D7D-B522-45F9-BDA1-12C45D357490}">
          <x15:cacheHierarchy aggregatedColumn="1"/>
        </ext>
      </extLst>
    </cacheHierarchy>
    <cacheHierarchy uniqueName="[Measures].[Count of Treatment Type]" caption="Count of Treatment Type" measure="1" displayFolder="" measureGroup="Table2" count="0" hidden="1">
      <extLst>
        <ext xmlns:x15="http://schemas.microsoft.com/office/spreadsheetml/2010/11/main" uri="{B97F6D7D-B522-45F9-BDA1-12C45D357490}">
          <x15:cacheHierarchy aggregatedColumn="2"/>
        </ext>
      </extLst>
    </cacheHierarchy>
    <cacheHierarchy uniqueName="[Measures].[Max of Hospital Stay (Days)]" caption="Max of Hospital Stay (Days)" measure="1" displayFolder="" measureGroup="Table2"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kshanya M" refreshedDate="45964.904384027781" backgroundQuery="1" createdVersion="8" refreshedVersion="8" minRefreshableVersion="3" recordCount="0" supportSubquery="1" supportAdvancedDrill="1" xr:uid="{30F5FD43-27EF-4A96-BD88-113DA2FDD14F}">
  <cacheSource type="external" connectionId="1"/>
  <cacheFields count="3">
    <cacheField name="[Table2].[Treatment Type].[Treatment Type]" caption="Treatment Type" numFmtId="0" hierarchy="2" level="1">
      <sharedItems count="4">
        <s v="Medication"/>
        <s v="Observation"/>
        <s v="Surgery"/>
        <s v="Therapy"/>
      </sharedItems>
    </cacheField>
    <cacheField name="[Measures].[Sum of Treatment Cost]" caption="Sum of Treatment Cost" numFmtId="0" hierarchy="15" level="32767"/>
    <cacheField name="[Table2].[Doctor Name].[Doctor Name]" caption="Doctor Name" numFmtId="0" hierarchy="3" level="1">
      <sharedItems containsSemiMixedTypes="0" containsNonDate="0" containsString="0"/>
    </cacheField>
  </cacheFields>
  <cacheHierarchies count="34">
    <cacheHierarchy uniqueName="[Table2].[Patient ID]" caption="Patient ID" attribute="1" defaultMemberUniqueName="[Table2].[Patient ID].[All]" allUniqueName="[Table2].[Patient ID].[All]" dimensionUniqueName="[Table2]" displayFolder="" count="0" memberValueDatatype="130" unbalanced="0"/>
    <cacheHierarchy uniqueName="[Table2].[Department]" caption="Department" attribute="1" defaultMemberUniqueName="[Table2].[Department].[All]" allUniqueName="[Table2].[Department].[All]" dimensionUniqueName="[Table2]" displayFolder="" count="2" memberValueDatatype="130" unbalanced="0"/>
    <cacheHierarchy uniqueName="[Table2].[Treatment Type]" caption="Treatment Type" attribute="1" defaultMemberUniqueName="[Table2].[Treatment Type].[All]" allUniqueName="[Table2].[Treatment Type].[All]" dimensionUniqueName="[Table2]" displayFolder="" count="2" memberValueDatatype="130" unbalanced="0">
      <fieldsUsage count="2">
        <fieldUsage x="-1"/>
        <fieldUsage x="0"/>
      </fieldsUsage>
    </cacheHierarchy>
    <cacheHierarchy uniqueName="[Table2].[Doctor Name]" caption="Doctor Name" attribute="1" defaultMemberUniqueName="[Table2].[Doctor Name].[All]" allUniqueName="[Table2].[Doctor Name].[All]" dimensionUniqueName="[Table2]" displayFolder="" count="2" memberValueDatatype="130" unbalanced="0">
      <fieldsUsage count="2">
        <fieldUsage x="-1"/>
        <fieldUsage x="2"/>
      </fieldsUsage>
    </cacheHierarchy>
    <cacheHierarchy uniqueName="[Table2].[Gender]" caption="Gender" attribute="1" defaultMemberUniqueName="[Table2].[Gender].[All]" allUniqueName="[Table2].[Gender].[All]" dimensionUniqueName="[Table2]" displayFolder="" count="2" memberValueDatatype="130" unbalanced="0"/>
    <cacheHierarchy uniqueName="[Table2].[Age]" caption="Age" attribute="1" defaultMemberUniqueName="[Table2].[Age].[All]" allUniqueName="[Table2].[Age].[All]" dimensionUniqueName="[Table2]" displayFolder="" count="0" memberValueDatatype="20" unbalanced="0"/>
    <cacheHierarchy uniqueName="[Table2].[Age Group]" caption="Age Group" attribute="1" defaultMemberUniqueName="[Table2].[Age Group].[All]" allUniqueName="[Table2].[Age Group].[All]" dimensionUniqueName="[Table2]" displayFolder="" count="0" memberValueDatatype="130" unbalanced="0"/>
    <cacheHierarchy uniqueName="[Table2].[Treatment Cost]" caption="Treatment Cost" attribute="1" defaultMemberUniqueName="[Table2].[Treatment Cost].[All]" allUniqueName="[Table2].[Treatment Cost].[All]" dimensionUniqueName="[Table2]" displayFolder="" count="0" memberValueDatatype="5" unbalanced="0"/>
    <cacheHierarchy uniqueName="[Table2].[Hospital Stay (Days)]" caption="Hospital Stay (Days)" attribute="1" defaultMemberUniqueName="[Table2].[Hospital Stay (Days)].[All]" allUniqueName="[Table2].[Hospital Stay (Days)].[All]" dimensionUniqueName="[Table2]" displayFolder="" count="0" memberValueDatatype="20" unbalanced="0"/>
    <cacheHierarchy uniqueName="[Table2].[Recovery Score]" caption="Recovery Score" attribute="1" defaultMemberUniqueName="[Table2].[Recovery Score].[All]" allUniqueName="[Table2].[Recovery Score].[All]" dimensionUniqueName="[Table2]" displayFolder="" count="0" memberValueDatatype="2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Patient ID]" caption="Count of Patient ID" measure="1" displayFolder="" measureGroup="Table2"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Table2" count="0" hidden="1">
      <extLst>
        <ext xmlns:x15="http://schemas.microsoft.com/office/spreadsheetml/2010/11/main" uri="{B97F6D7D-B522-45F9-BDA1-12C45D357490}">
          <x15:cacheHierarchy aggregatedColumn="5"/>
        </ext>
      </extLst>
    </cacheHierarchy>
    <cacheHierarchy uniqueName="[Measures].[Average of Age]" caption="Average of Age" measure="1" displayFolder="" measureGroup="Table2" count="0" hidden="1">
      <extLst>
        <ext xmlns:x15="http://schemas.microsoft.com/office/spreadsheetml/2010/11/main" uri="{B97F6D7D-B522-45F9-BDA1-12C45D357490}">
          <x15:cacheHierarchy aggregatedColumn="5"/>
        </ext>
      </extLst>
    </cacheHierarchy>
    <cacheHierarchy uniqueName="[Measures].[Sum of Treatment Cost]" caption="Sum of Treatment Cost" measure="1" displayFolder="" measureGroup="Table2" count="0" oneField="1" hidden="1">
      <fieldsUsage count="1">
        <fieldUsage x="1"/>
      </fieldsUsage>
      <extLst>
        <ext xmlns:x15="http://schemas.microsoft.com/office/spreadsheetml/2010/11/main" uri="{B97F6D7D-B522-45F9-BDA1-12C45D357490}">
          <x15:cacheHierarchy aggregatedColumn="7"/>
        </ext>
      </extLst>
    </cacheHierarchy>
    <cacheHierarchy uniqueName="[Measures].[Average of Treatment Cost]" caption="Average of Treatment Cost" measure="1" displayFolder="" measureGroup="Table2" count="0" hidden="1">
      <extLst>
        <ext xmlns:x15="http://schemas.microsoft.com/office/spreadsheetml/2010/11/main" uri="{B97F6D7D-B522-45F9-BDA1-12C45D357490}">
          <x15:cacheHierarchy aggregatedColumn="7"/>
        </ext>
      </extLst>
    </cacheHierarchy>
    <cacheHierarchy uniqueName="[Measures].[Sum of Hospital Stay (Days)]" caption="Sum of Hospital Stay (Days)" measure="1" displayFolder="" measureGroup="Table2" count="0" hidden="1">
      <extLst>
        <ext xmlns:x15="http://schemas.microsoft.com/office/spreadsheetml/2010/11/main" uri="{B97F6D7D-B522-45F9-BDA1-12C45D357490}">
          <x15:cacheHierarchy aggregatedColumn="8"/>
        </ext>
      </extLst>
    </cacheHierarchy>
    <cacheHierarchy uniqueName="[Measures].[Sum of Recovery Score]" caption="Sum of Recovery Score" measure="1" displayFolder="" measureGroup="Table2" count="0" hidden="1">
      <extLst>
        <ext xmlns:x15="http://schemas.microsoft.com/office/spreadsheetml/2010/11/main" uri="{B97F6D7D-B522-45F9-BDA1-12C45D357490}">
          <x15:cacheHierarchy aggregatedColumn="9"/>
        </ext>
      </extLst>
    </cacheHierarchy>
    <cacheHierarchy uniqueName="[Measures].[Average of Recovery Score]" caption="Average of Recovery Score" measure="1" displayFolder="" measureGroup="Table2" count="0" hidden="1">
      <extLst>
        <ext xmlns:x15="http://schemas.microsoft.com/office/spreadsheetml/2010/11/main" uri="{B97F6D7D-B522-45F9-BDA1-12C45D357490}">
          <x15:cacheHierarchy aggregatedColumn="9"/>
        </ext>
      </extLst>
    </cacheHierarchy>
    <cacheHierarchy uniqueName="[Measures].[Average of Hospital Stay (Days)]" caption="Average of Hospital Stay (Days)" measure="1" displayFolder="" measureGroup="Table2" count="0" hidden="1">
      <extLst>
        <ext xmlns:x15="http://schemas.microsoft.com/office/spreadsheetml/2010/11/main" uri="{B97F6D7D-B522-45F9-BDA1-12C45D357490}">
          <x15:cacheHierarchy aggregatedColumn="8"/>
        </ext>
      </extLst>
    </cacheHierarchy>
    <cacheHierarchy uniqueName="[Measures].[Count of Gender]" caption="Count of Gender" measure="1" displayFolder="" measureGroup="Table2" count="0" hidden="1">
      <extLst>
        <ext xmlns:x15="http://schemas.microsoft.com/office/spreadsheetml/2010/11/main" uri="{B97F6D7D-B522-45F9-BDA1-12C45D357490}">
          <x15:cacheHierarchy aggregatedColumn="4"/>
        </ext>
      </extLst>
    </cacheHierarchy>
    <cacheHierarchy uniqueName="[Measures].[Count of Treatment Cost]" caption="Count of Treatment Cost" measure="1" displayFolder="" measureGroup="Table2" count="0" hidden="1">
      <extLst>
        <ext xmlns:x15="http://schemas.microsoft.com/office/spreadsheetml/2010/11/main" uri="{B97F6D7D-B522-45F9-BDA1-12C45D357490}">
          <x15:cacheHierarchy aggregatedColumn="7"/>
        </ext>
      </extLst>
    </cacheHierarchy>
    <cacheHierarchy uniqueName="[Measures].[Min of Treatment Cost]" caption="Min of Treatment Cost" measure="1" displayFolder="" measureGroup="Table2" count="0" hidden="1">
      <extLst>
        <ext xmlns:x15="http://schemas.microsoft.com/office/spreadsheetml/2010/11/main" uri="{B97F6D7D-B522-45F9-BDA1-12C45D357490}">
          <x15:cacheHierarchy aggregatedColumn="7"/>
        </ext>
      </extLst>
    </cacheHierarchy>
    <cacheHierarchy uniqueName="[Measures].[Max of Treatment Cost]" caption="Max of Treatment Cost" measure="1" displayFolder="" measureGroup="Table2" count="0" hidden="1">
      <extLst>
        <ext xmlns:x15="http://schemas.microsoft.com/office/spreadsheetml/2010/11/main" uri="{B97F6D7D-B522-45F9-BDA1-12C45D357490}">
          <x15:cacheHierarchy aggregatedColumn="7"/>
        </ext>
      </extLst>
    </cacheHierarchy>
    <cacheHierarchy uniqueName="[Measures].[Min of Recovery Score]" caption="Min of Recovery Score" measure="1" displayFolder="" measureGroup="Table2" count="0" hidden="1">
      <extLst>
        <ext xmlns:x15="http://schemas.microsoft.com/office/spreadsheetml/2010/11/main" uri="{B97F6D7D-B522-45F9-BDA1-12C45D357490}">
          <x15:cacheHierarchy aggregatedColumn="9"/>
        </ext>
      </extLst>
    </cacheHierarchy>
    <cacheHierarchy uniqueName="[Measures].[Max of Recovery Score]" caption="Max of Recovery Score" measure="1" displayFolder="" measureGroup="Table2" count="0" hidden="1">
      <extLst>
        <ext xmlns:x15="http://schemas.microsoft.com/office/spreadsheetml/2010/11/main" uri="{B97F6D7D-B522-45F9-BDA1-12C45D357490}">
          <x15:cacheHierarchy aggregatedColumn="9"/>
        </ext>
      </extLst>
    </cacheHierarchy>
    <cacheHierarchy uniqueName="[Measures].[StdDev of Recovery Score]" caption="StdDev of Recovery Score" measure="1" displayFolder="" measureGroup="Table2" count="0" hidden="1">
      <extLst>
        <ext xmlns:x15="http://schemas.microsoft.com/office/spreadsheetml/2010/11/main" uri="{B97F6D7D-B522-45F9-BDA1-12C45D357490}">
          <x15:cacheHierarchy aggregatedColumn="9"/>
        </ext>
      </extLst>
    </cacheHierarchy>
    <cacheHierarchy uniqueName="[Measures].[Count of Recovery Score]" caption="Count of Recovery Score" measure="1" displayFolder="" measureGroup="Table2" count="0" hidden="1">
      <extLst>
        <ext xmlns:x15="http://schemas.microsoft.com/office/spreadsheetml/2010/11/main" uri="{B97F6D7D-B522-45F9-BDA1-12C45D357490}">
          <x15:cacheHierarchy aggregatedColumn="9"/>
        </ext>
      </extLst>
    </cacheHierarchy>
    <cacheHierarchy uniqueName="[Measures].[Min of Hospital Stay (Days)]" caption="Min of Hospital Stay (Days)" measure="1" displayFolder="" measureGroup="Table2" count="0" hidden="1">
      <extLst>
        <ext xmlns:x15="http://schemas.microsoft.com/office/spreadsheetml/2010/11/main" uri="{B97F6D7D-B522-45F9-BDA1-12C45D357490}">
          <x15:cacheHierarchy aggregatedColumn="8"/>
        </ext>
      </extLst>
    </cacheHierarchy>
    <cacheHierarchy uniqueName="[Measures].[Distinct Count of Hospital Stay (Days)]" caption="Distinct Count of Hospital Stay (Days)" measure="1" displayFolder="" measureGroup="Table2" count="0" hidden="1">
      <extLst>
        <ext xmlns:x15="http://schemas.microsoft.com/office/spreadsheetml/2010/11/main" uri="{B97F6D7D-B522-45F9-BDA1-12C45D357490}">
          <x15:cacheHierarchy aggregatedColumn="8"/>
        </ext>
      </extLst>
    </cacheHierarchy>
    <cacheHierarchy uniqueName="[Measures].[Count of Department]" caption="Count of Department" measure="1" displayFolder="" measureGroup="Table2" count="0" hidden="1">
      <extLst>
        <ext xmlns:x15="http://schemas.microsoft.com/office/spreadsheetml/2010/11/main" uri="{B97F6D7D-B522-45F9-BDA1-12C45D357490}">
          <x15:cacheHierarchy aggregatedColumn="1"/>
        </ext>
      </extLst>
    </cacheHierarchy>
    <cacheHierarchy uniqueName="[Measures].[Count of Treatment Type]" caption="Count of Treatment Type" measure="1" displayFolder="" measureGroup="Table2" count="0" hidden="1">
      <extLst>
        <ext xmlns:x15="http://schemas.microsoft.com/office/spreadsheetml/2010/11/main" uri="{B97F6D7D-B522-45F9-BDA1-12C45D357490}">
          <x15:cacheHierarchy aggregatedColumn="2"/>
        </ext>
      </extLst>
    </cacheHierarchy>
    <cacheHierarchy uniqueName="[Measures].[Max of Hospital Stay (Days)]" caption="Max of Hospital Stay (Days)" measure="1" displayFolder="" measureGroup="Table2"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kshanya M" refreshedDate="45964.904384490743" backgroundQuery="1" createdVersion="8" refreshedVersion="8" minRefreshableVersion="3" recordCount="0" supportSubquery="1" supportAdvancedDrill="1" xr:uid="{43892686-3EC0-4A96-AABB-C3C6C5D909F0}">
  <cacheSource type="external" connectionId="1"/>
  <cacheFields count="3">
    <cacheField name="[Measures].[Sum of Recovery Score]" caption="Sum of Recovery Score" numFmtId="0" hierarchy="18" level="32767"/>
    <cacheField name="[Table2].[Department].[Department]" caption="Department" numFmtId="0" hierarchy="1" level="1">
      <sharedItems count="6">
        <s v="Cardiology"/>
        <s v="Gastroenterology"/>
        <s v="Neurology"/>
        <s v="Oncology"/>
        <s v="Orthopedics"/>
        <s v="Pediatrics"/>
      </sharedItems>
    </cacheField>
    <cacheField name="[Table2].[Doctor Name].[Doctor Name]" caption="Doctor Name" numFmtId="0" hierarchy="3" level="1">
      <sharedItems containsSemiMixedTypes="0" containsNonDate="0" containsString="0"/>
    </cacheField>
  </cacheFields>
  <cacheHierarchies count="34">
    <cacheHierarchy uniqueName="[Table2].[Patient ID]" caption="Patient ID" attribute="1" defaultMemberUniqueName="[Table2].[Patient ID].[All]" allUniqueName="[Table2].[Patient ID].[All]" dimensionUniqueName="[Table2]" displayFolder="" count="0" memberValueDatatype="130" unbalanced="0"/>
    <cacheHierarchy uniqueName="[Table2].[Department]" caption="Department" attribute="1" defaultMemberUniqueName="[Table2].[Department].[All]" allUniqueName="[Table2].[Department].[All]" dimensionUniqueName="[Table2]" displayFolder="" count="2" memberValueDatatype="130" unbalanced="0">
      <fieldsUsage count="2">
        <fieldUsage x="-1"/>
        <fieldUsage x="1"/>
      </fieldsUsage>
    </cacheHierarchy>
    <cacheHierarchy uniqueName="[Table2].[Treatment Type]" caption="Treatment Type" attribute="1" defaultMemberUniqueName="[Table2].[Treatment Type].[All]" allUniqueName="[Table2].[Treatment Type].[All]" dimensionUniqueName="[Table2]" displayFolder="" count="2" memberValueDatatype="130" unbalanced="0"/>
    <cacheHierarchy uniqueName="[Table2].[Doctor Name]" caption="Doctor Name" attribute="1" defaultMemberUniqueName="[Table2].[Doctor Name].[All]" allUniqueName="[Table2].[Doctor Name].[All]" dimensionUniqueName="[Table2]" displayFolder="" count="2" memberValueDatatype="130" unbalanced="0">
      <fieldsUsage count="2">
        <fieldUsage x="-1"/>
        <fieldUsage x="2"/>
      </fieldsUsage>
    </cacheHierarchy>
    <cacheHierarchy uniqueName="[Table2].[Gender]" caption="Gender" attribute="1" defaultMemberUniqueName="[Table2].[Gender].[All]" allUniqueName="[Table2].[Gender].[All]" dimensionUniqueName="[Table2]" displayFolder="" count="2" memberValueDatatype="130" unbalanced="0"/>
    <cacheHierarchy uniqueName="[Table2].[Age]" caption="Age" attribute="1" defaultMemberUniqueName="[Table2].[Age].[All]" allUniqueName="[Table2].[Age].[All]" dimensionUniqueName="[Table2]" displayFolder="" count="0" memberValueDatatype="20" unbalanced="0"/>
    <cacheHierarchy uniqueName="[Table2].[Age Group]" caption="Age Group" attribute="1" defaultMemberUniqueName="[Table2].[Age Group].[All]" allUniqueName="[Table2].[Age Group].[All]" dimensionUniqueName="[Table2]" displayFolder="" count="0" memberValueDatatype="130" unbalanced="0"/>
    <cacheHierarchy uniqueName="[Table2].[Treatment Cost]" caption="Treatment Cost" attribute="1" defaultMemberUniqueName="[Table2].[Treatment Cost].[All]" allUniqueName="[Table2].[Treatment Cost].[All]" dimensionUniqueName="[Table2]" displayFolder="" count="0" memberValueDatatype="5" unbalanced="0"/>
    <cacheHierarchy uniqueName="[Table2].[Hospital Stay (Days)]" caption="Hospital Stay (Days)" attribute="1" defaultMemberUniqueName="[Table2].[Hospital Stay (Days)].[All]" allUniqueName="[Table2].[Hospital Stay (Days)].[All]" dimensionUniqueName="[Table2]" displayFolder="" count="0" memberValueDatatype="20" unbalanced="0"/>
    <cacheHierarchy uniqueName="[Table2].[Recovery Score]" caption="Recovery Score" attribute="1" defaultMemberUniqueName="[Table2].[Recovery Score].[All]" allUniqueName="[Table2].[Recovery Score].[All]" dimensionUniqueName="[Table2]" displayFolder="" count="0" memberValueDatatype="2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Patient ID]" caption="Count of Patient ID" measure="1" displayFolder="" measureGroup="Table2"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Table2" count="0" hidden="1">
      <extLst>
        <ext xmlns:x15="http://schemas.microsoft.com/office/spreadsheetml/2010/11/main" uri="{B97F6D7D-B522-45F9-BDA1-12C45D357490}">
          <x15:cacheHierarchy aggregatedColumn="5"/>
        </ext>
      </extLst>
    </cacheHierarchy>
    <cacheHierarchy uniqueName="[Measures].[Average of Age]" caption="Average of Age" measure="1" displayFolder="" measureGroup="Table2" count="0" hidden="1">
      <extLst>
        <ext xmlns:x15="http://schemas.microsoft.com/office/spreadsheetml/2010/11/main" uri="{B97F6D7D-B522-45F9-BDA1-12C45D357490}">
          <x15:cacheHierarchy aggregatedColumn="5"/>
        </ext>
      </extLst>
    </cacheHierarchy>
    <cacheHierarchy uniqueName="[Measures].[Sum of Treatment Cost]" caption="Sum of Treatment Cost" measure="1" displayFolder="" measureGroup="Table2" count="0" hidden="1">
      <extLst>
        <ext xmlns:x15="http://schemas.microsoft.com/office/spreadsheetml/2010/11/main" uri="{B97F6D7D-B522-45F9-BDA1-12C45D357490}">
          <x15:cacheHierarchy aggregatedColumn="7"/>
        </ext>
      </extLst>
    </cacheHierarchy>
    <cacheHierarchy uniqueName="[Measures].[Average of Treatment Cost]" caption="Average of Treatment Cost" measure="1" displayFolder="" measureGroup="Table2" count="0" hidden="1">
      <extLst>
        <ext xmlns:x15="http://schemas.microsoft.com/office/spreadsheetml/2010/11/main" uri="{B97F6D7D-B522-45F9-BDA1-12C45D357490}">
          <x15:cacheHierarchy aggregatedColumn="7"/>
        </ext>
      </extLst>
    </cacheHierarchy>
    <cacheHierarchy uniqueName="[Measures].[Sum of Hospital Stay (Days)]" caption="Sum of Hospital Stay (Days)" measure="1" displayFolder="" measureGroup="Table2" count="0" hidden="1">
      <extLst>
        <ext xmlns:x15="http://schemas.microsoft.com/office/spreadsheetml/2010/11/main" uri="{B97F6D7D-B522-45F9-BDA1-12C45D357490}">
          <x15:cacheHierarchy aggregatedColumn="8"/>
        </ext>
      </extLst>
    </cacheHierarchy>
    <cacheHierarchy uniqueName="[Measures].[Sum of Recovery Score]" caption="Sum of Recovery Score" measure="1" displayFolder="" measureGroup="Table2" count="0" oneField="1" hidden="1">
      <fieldsUsage count="1">
        <fieldUsage x="0"/>
      </fieldsUsage>
      <extLst>
        <ext xmlns:x15="http://schemas.microsoft.com/office/spreadsheetml/2010/11/main" uri="{B97F6D7D-B522-45F9-BDA1-12C45D357490}">
          <x15:cacheHierarchy aggregatedColumn="9"/>
        </ext>
      </extLst>
    </cacheHierarchy>
    <cacheHierarchy uniqueName="[Measures].[Average of Recovery Score]" caption="Average of Recovery Score" measure="1" displayFolder="" measureGroup="Table2" count="0" hidden="1">
      <extLst>
        <ext xmlns:x15="http://schemas.microsoft.com/office/spreadsheetml/2010/11/main" uri="{B97F6D7D-B522-45F9-BDA1-12C45D357490}">
          <x15:cacheHierarchy aggregatedColumn="9"/>
        </ext>
      </extLst>
    </cacheHierarchy>
    <cacheHierarchy uniqueName="[Measures].[Average of Hospital Stay (Days)]" caption="Average of Hospital Stay (Days)" measure="1" displayFolder="" measureGroup="Table2" count="0" hidden="1">
      <extLst>
        <ext xmlns:x15="http://schemas.microsoft.com/office/spreadsheetml/2010/11/main" uri="{B97F6D7D-B522-45F9-BDA1-12C45D357490}">
          <x15:cacheHierarchy aggregatedColumn="8"/>
        </ext>
      </extLst>
    </cacheHierarchy>
    <cacheHierarchy uniqueName="[Measures].[Count of Gender]" caption="Count of Gender" measure="1" displayFolder="" measureGroup="Table2" count="0" hidden="1">
      <extLst>
        <ext xmlns:x15="http://schemas.microsoft.com/office/spreadsheetml/2010/11/main" uri="{B97F6D7D-B522-45F9-BDA1-12C45D357490}">
          <x15:cacheHierarchy aggregatedColumn="4"/>
        </ext>
      </extLst>
    </cacheHierarchy>
    <cacheHierarchy uniqueName="[Measures].[Count of Treatment Cost]" caption="Count of Treatment Cost" measure="1" displayFolder="" measureGroup="Table2" count="0" hidden="1">
      <extLst>
        <ext xmlns:x15="http://schemas.microsoft.com/office/spreadsheetml/2010/11/main" uri="{B97F6D7D-B522-45F9-BDA1-12C45D357490}">
          <x15:cacheHierarchy aggregatedColumn="7"/>
        </ext>
      </extLst>
    </cacheHierarchy>
    <cacheHierarchy uniqueName="[Measures].[Min of Treatment Cost]" caption="Min of Treatment Cost" measure="1" displayFolder="" measureGroup="Table2" count="0" hidden="1">
      <extLst>
        <ext xmlns:x15="http://schemas.microsoft.com/office/spreadsheetml/2010/11/main" uri="{B97F6D7D-B522-45F9-BDA1-12C45D357490}">
          <x15:cacheHierarchy aggregatedColumn="7"/>
        </ext>
      </extLst>
    </cacheHierarchy>
    <cacheHierarchy uniqueName="[Measures].[Max of Treatment Cost]" caption="Max of Treatment Cost" measure="1" displayFolder="" measureGroup="Table2" count="0" hidden="1">
      <extLst>
        <ext xmlns:x15="http://schemas.microsoft.com/office/spreadsheetml/2010/11/main" uri="{B97F6D7D-B522-45F9-BDA1-12C45D357490}">
          <x15:cacheHierarchy aggregatedColumn="7"/>
        </ext>
      </extLst>
    </cacheHierarchy>
    <cacheHierarchy uniqueName="[Measures].[Min of Recovery Score]" caption="Min of Recovery Score" measure="1" displayFolder="" measureGroup="Table2" count="0" hidden="1">
      <extLst>
        <ext xmlns:x15="http://schemas.microsoft.com/office/spreadsheetml/2010/11/main" uri="{B97F6D7D-B522-45F9-BDA1-12C45D357490}">
          <x15:cacheHierarchy aggregatedColumn="9"/>
        </ext>
      </extLst>
    </cacheHierarchy>
    <cacheHierarchy uniqueName="[Measures].[Max of Recovery Score]" caption="Max of Recovery Score" measure="1" displayFolder="" measureGroup="Table2" count="0" hidden="1">
      <extLst>
        <ext xmlns:x15="http://schemas.microsoft.com/office/spreadsheetml/2010/11/main" uri="{B97F6D7D-B522-45F9-BDA1-12C45D357490}">
          <x15:cacheHierarchy aggregatedColumn="9"/>
        </ext>
      </extLst>
    </cacheHierarchy>
    <cacheHierarchy uniqueName="[Measures].[StdDev of Recovery Score]" caption="StdDev of Recovery Score" measure="1" displayFolder="" measureGroup="Table2" count="0" hidden="1">
      <extLst>
        <ext xmlns:x15="http://schemas.microsoft.com/office/spreadsheetml/2010/11/main" uri="{B97F6D7D-B522-45F9-BDA1-12C45D357490}">
          <x15:cacheHierarchy aggregatedColumn="9"/>
        </ext>
      </extLst>
    </cacheHierarchy>
    <cacheHierarchy uniqueName="[Measures].[Count of Recovery Score]" caption="Count of Recovery Score" measure="1" displayFolder="" measureGroup="Table2" count="0" hidden="1">
      <extLst>
        <ext xmlns:x15="http://schemas.microsoft.com/office/spreadsheetml/2010/11/main" uri="{B97F6D7D-B522-45F9-BDA1-12C45D357490}">
          <x15:cacheHierarchy aggregatedColumn="9"/>
        </ext>
      </extLst>
    </cacheHierarchy>
    <cacheHierarchy uniqueName="[Measures].[Min of Hospital Stay (Days)]" caption="Min of Hospital Stay (Days)" measure="1" displayFolder="" measureGroup="Table2" count="0" hidden="1">
      <extLst>
        <ext xmlns:x15="http://schemas.microsoft.com/office/spreadsheetml/2010/11/main" uri="{B97F6D7D-B522-45F9-BDA1-12C45D357490}">
          <x15:cacheHierarchy aggregatedColumn="8"/>
        </ext>
      </extLst>
    </cacheHierarchy>
    <cacheHierarchy uniqueName="[Measures].[Distinct Count of Hospital Stay (Days)]" caption="Distinct Count of Hospital Stay (Days)" measure="1" displayFolder="" measureGroup="Table2" count="0" hidden="1">
      <extLst>
        <ext xmlns:x15="http://schemas.microsoft.com/office/spreadsheetml/2010/11/main" uri="{B97F6D7D-B522-45F9-BDA1-12C45D357490}">
          <x15:cacheHierarchy aggregatedColumn="8"/>
        </ext>
      </extLst>
    </cacheHierarchy>
    <cacheHierarchy uniqueName="[Measures].[Count of Department]" caption="Count of Department" measure="1" displayFolder="" measureGroup="Table2" count="0" hidden="1">
      <extLst>
        <ext xmlns:x15="http://schemas.microsoft.com/office/spreadsheetml/2010/11/main" uri="{B97F6D7D-B522-45F9-BDA1-12C45D357490}">
          <x15:cacheHierarchy aggregatedColumn="1"/>
        </ext>
      </extLst>
    </cacheHierarchy>
    <cacheHierarchy uniqueName="[Measures].[Count of Treatment Type]" caption="Count of Treatment Type" measure="1" displayFolder="" measureGroup="Table2" count="0" hidden="1">
      <extLst>
        <ext xmlns:x15="http://schemas.microsoft.com/office/spreadsheetml/2010/11/main" uri="{B97F6D7D-B522-45F9-BDA1-12C45D357490}">
          <x15:cacheHierarchy aggregatedColumn="2"/>
        </ext>
      </extLst>
    </cacheHierarchy>
    <cacheHierarchy uniqueName="[Measures].[Max of Hospital Stay (Days)]" caption="Max of Hospital Stay (Days)" measure="1" displayFolder="" measureGroup="Table2"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kshanya M" refreshedDate="45964.904384837966" backgroundQuery="1" createdVersion="8" refreshedVersion="8" minRefreshableVersion="3" recordCount="0" supportSubquery="1" supportAdvancedDrill="1" xr:uid="{F5AF8EA2-DAC0-4CC9-AC66-AAF0B120F9A6}">
  <cacheSource type="external" connectionId="1"/>
  <cacheFields count="4">
    <cacheField name="[Table2].[Department].[Department]" caption="Department" numFmtId="0" hierarchy="1" level="1">
      <sharedItems count="6">
        <s v="Cardiology"/>
        <s v="Gastroenterology"/>
        <s v="Neurology"/>
        <s v="Oncology"/>
        <s v="Orthopedics"/>
        <s v="Pediatrics"/>
      </sharedItems>
    </cacheField>
    <cacheField name="[Table2].[Gender].[Gender]" caption="Gender" numFmtId="0" hierarchy="4" level="1">
      <sharedItems count="3">
        <s v="Female"/>
        <s v="Male"/>
        <s v="Other"/>
      </sharedItems>
    </cacheField>
    <cacheField name="[Measures].[Count of Gender]" caption="Count of Gender" numFmtId="0" hierarchy="21" level="32767"/>
    <cacheField name="[Table2].[Doctor Name].[Doctor Name]" caption="Doctor Name" numFmtId="0" hierarchy="3" level="1">
      <sharedItems containsSemiMixedTypes="0" containsNonDate="0" containsString="0"/>
    </cacheField>
  </cacheFields>
  <cacheHierarchies count="34">
    <cacheHierarchy uniqueName="[Table2].[Patient ID]" caption="Patient ID" attribute="1" defaultMemberUniqueName="[Table2].[Patient ID].[All]" allUniqueName="[Table2].[Patient ID].[All]" dimensionUniqueName="[Table2]" displayFolder="" count="0" memberValueDatatype="130" unbalanced="0"/>
    <cacheHierarchy uniqueName="[Table2].[Department]" caption="Department" attribute="1" defaultMemberUniqueName="[Table2].[Department].[All]" allUniqueName="[Table2].[Department].[All]" dimensionUniqueName="[Table2]" displayFolder="" count="2" memberValueDatatype="130" unbalanced="0">
      <fieldsUsage count="2">
        <fieldUsage x="-1"/>
        <fieldUsage x="0"/>
      </fieldsUsage>
    </cacheHierarchy>
    <cacheHierarchy uniqueName="[Table2].[Treatment Type]" caption="Treatment Type" attribute="1" defaultMemberUniqueName="[Table2].[Treatment Type].[All]" allUniqueName="[Table2].[Treatment Type].[All]" dimensionUniqueName="[Table2]" displayFolder="" count="2" memberValueDatatype="130" unbalanced="0"/>
    <cacheHierarchy uniqueName="[Table2].[Doctor Name]" caption="Doctor Name" attribute="1" defaultMemberUniqueName="[Table2].[Doctor Name].[All]" allUniqueName="[Table2].[Doctor Name].[All]" dimensionUniqueName="[Table2]" displayFolder="" count="2" memberValueDatatype="130" unbalanced="0">
      <fieldsUsage count="2">
        <fieldUsage x="-1"/>
        <fieldUsage x="3"/>
      </fieldsUsage>
    </cacheHierarchy>
    <cacheHierarchy uniqueName="[Table2].[Gender]" caption="Gender" attribute="1" defaultMemberUniqueName="[Table2].[Gender].[All]" allUniqueName="[Table2].[Gender].[All]" dimensionUniqueName="[Table2]" displayFolder="" count="2" memberValueDatatype="130" unbalanced="0">
      <fieldsUsage count="2">
        <fieldUsage x="-1"/>
        <fieldUsage x="1"/>
      </fieldsUsage>
    </cacheHierarchy>
    <cacheHierarchy uniqueName="[Table2].[Age]" caption="Age" attribute="1" defaultMemberUniqueName="[Table2].[Age].[All]" allUniqueName="[Table2].[Age].[All]" dimensionUniqueName="[Table2]" displayFolder="" count="0" memberValueDatatype="20" unbalanced="0"/>
    <cacheHierarchy uniqueName="[Table2].[Age Group]" caption="Age Group" attribute="1" defaultMemberUniqueName="[Table2].[Age Group].[All]" allUniqueName="[Table2].[Age Group].[All]" dimensionUniqueName="[Table2]" displayFolder="" count="0" memberValueDatatype="130" unbalanced="0"/>
    <cacheHierarchy uniqueName="[Table2].[Treatment Cost]" caption="Treatment Cost" attribute="1" defaultMemberUniqueName="[Table2].[Treatment Cost].[All]" allUniqueName="[Table2].[Treatment Cost].[All]" dimensionUniqueName="[Table2]" displayFolder="" count="0" memberValueDatatype="5" unbalanced="0"/>
    <cacheHierarchy uniqueName="[Table2].[Hospital Stay (Days)]" caption="Hospital Stay (Days)" attribute="1" defaultMemberUniqueName="[Table2].[Hospital Stay (Days)].[All]" allUniqueName="[Table2].[Hospital Stay (Days)].[All]" dimensionUniqueName="[Table2]" displayFolder="" count="0" memberValueDatatype="20" unbalanced="0"/>
    <cacheHierarchy uniqueName="[Table2].[Recovery Score]" caption="Recovery Score" attribute="1" defaultMemberUniqueName="[Table2].[Recovery Score].[All]" allUniqueName="[Table2].[Recovery Score].[All]" dimensionUniqueName="[Table2]" displayFolder="" count="0" memberValueDatatype="2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Patient ID]" caption="Count of Patient ID" measure="1" displayFolder="" measureGroup="Table2"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Table2" count="0" hidden="1">
      <extLst>
        <ext xmlns:x15="http://schemas.microsoft.com/office/spreadsheetml/2010/11/main" uri="{B97F6D7D-B522-45F9-BDA1-12C45D357490}">
          <x15:cacheHierarchy aggregatedColumn="5"/>
        </ext>
      </extLst>
    </cacheHierarchy>
    <cacheHierarchy uniqueName="[Measures].[Average of Age]" caption="Average of Age" measure="1" displayFolder="" measureGroup="Table2" count="0" hidden="1">
      <extLst>
        <ext xmlns:x15="http://schemas.microsoft.com/office/spreadsheetml/2010/11/main" uri="{B97F6D7D-B522-45F9-BDA1-12C45D357490}">
          <x15:cacheHierarchy aggregatedColumn="5"/>
        </ext>
      </extLst>
    </cacheHierarchy>
    <cacheHierarchy uniqueName="[Measures].[Sum of Treatment Cost]" caption="Sum of Treatment Cost" measure="1" displayFolder="" measureGroup="Table2" count="0" hidden="1">
      <extLst>
        <ext xmlns:x15="http://schemas.microsoft.com/office/spreadsheetml/2010/11/main" uri="{B97F6D7D-B522-45F9-BDA1-12C45D357490}">
          <x15:cacheHierarchy aggregatedColumn="7"/>
        </ext>
      </extLst>
    </cacheHierarchy>
    <cacheHierarchy uniqueName="[Measures].[Average of Treatment Cost]" caption="Average of Treatment Cost" measure="1" displayFolder="" measureGroup="Table2" count="0" hidden="1">
      <extLst>
        <ext xmlns:x15="http://schemas.microsoft.com/office/spreadsheetml/2010/11/main" uri="{B97F6D7D-B522-45F9-BDA1-12C45D357490}">
          <x15:cacheHierarchy aggregatedColumn="7"/>
        </ext>
      </extLst>
    </cacheHierarchy>
    <cacheHierarchy uniqueName="[Measures].[Sum of Hospital Stay (Days)]" caption="Sum of Hospital Stay (Days)" measure="1" displayFolder="" measureGroup="Table2" count="0" hidden="1">
      <extLst>
        <ext xmlns:x15="http://schemas.microsoft.com/office/spreadsheetml/2010/11/main" uri="{B97F6D7D-B522-45F9-BDA1-12C45D357490}">
          <x15:cacheHierarchy aggregatedColumn="8"/>
        </ext>
      </extLst>
    </cacheHierarchy>
    <cacheHierarchy uniqueName="[Measures].[Sum of Recovery Score]" caption="Sum of Recovery Score" measure="1" displayFolder="" measureGroup="Table2" count="0" hidden="1">
      <extLst>
        <ext xmlns:x15="http://schemas.microsoft.com/office/spreadsheetml/2010/11/main" uri="{B97F6D7D-B522-45F9-BDA1-12C45D357490}">
          <x15:cacheHierarchy aggregatedColumn="9"/>
        </ext>
      </extLst>
    </cacheHierarchy>
    <cacheHierarchy uniqueName="[Measures].[Average of Recovery Score]" caption="Average of Recovery Score" measure="1" displayFolder="" measureGroup="Table2" count="0" hidden="1">
      <extLst>
        <ext xmlns:x15="http://schemas.microsoft.com/office/spreadsheetml/2010/11/main" uri="{B97F6D7D-B522-45F9-BDA1-12C45D357490}">
          <x15:cacheHierarchy aggregatedColumn="9"/>
        </ext>
      </extLst>
    </cacheHierarchy>
    <cacheHierarchy uniqueName="[Measures].[Average of Hospital Stay (Days)]" caption="Average of Hospital Stay (Days)" measure="1" displayFolder="" measureGroup="Table2" count="0" hidden="1">
      <extLst>
        <ext xmlns:x15="http://schemas.microsoft.com/office/spreadsheetml/2010/11/main" uri="{B97F6D7D-B522-45F9-BDA1-12C45D357490}">
          <x15:cacheHierarchy aggregatedColumn="8"/>
        </ext>
      </extLst>
    </cacheHierarchy>
    <cacheHierarchy uniqueName="[Measures].[Count of Gender]" caption="Count of Gender" measure="1" displayFolder="" measureGroup="Table2" count="0" oneField="1" hidden="1">
      <fieldsUsage count="1">
        <fieldUsage x="2"/>
      </fieldsUsage>
      <extLst>
        <ext xmlns:x15="http://schemas.microsoft.com/office/spreadsheetml/2010/11/main" uri="{B97F6D7D-B522-45F9-BDA1-12C45D357490}">
          <x15:cacheHierarchy aggregatedColumn="4"/>
        </ext>
      </extLst>
    </cacheHierarchy>
    <cacheHierarchy uniqueName="[Measures].[Count of Treatment Cost]" caption="Count of Treatment Cost" measure="1" displayFolder="" measureGroup="Table2" count="0" hidden="1">
      <extLst>
        <ext xmlns:x15="http://schemas.microsoft.com/office/spreadsheetml/2010/11/main" uri="{B97F6D7D-B522-45F9-BDA1-12C45D357490}">
          <x15:cacheHierarchy aggregatedColumn="7"/>
        </ext>
      </extLst>
    </cacheHierarchy>
    <cacheHierarchy uniqueName="[Measures].[Min of Treatment Cost]" caption="Min of Treatment Cost" measure="1" displayFolder="" measureGroup="Table2" count="0" hidden="1">
      <extLst>
        <ext xmlns:x15="http://schemas.microsoft.com/office/spreadsheetml/2010/11/main" uri="{B97F6D7D-B522-45F9-BDA1-12C45D357490}">
          <x15:cacheHierarchy aggregatedColumn="7"/>
        </ext>
      </extLst>
    </cacheHierarchy>
    <cacheHierarchy uniqueName="[Measures].[Max of Treatment Cost]" caption="Max of Treatment Cost" measure="1" displayFolder="" measureGroup="Table2" count="0" hidden="1">
      <extLst>
        <ext xmlns:x15="http://schemas.microsoft.com/office/spreadsheetml/2010/11/main" uri="{B97F6D7D-B522-45F9-BDA1-12C45D357490}">
          <x15:cacheHierarchy aggregatedColumn="7"/>
        </ext>
      </extLst>
    </cacheHierarchy>
    <cacheHierarchy uniqueName="[Measures].[Min of Recovery Score]" caption="Min of Recovery Score" measure="1" displayFolder="" measureGroup="Table2" count="0" hidden="1">
      <extLst>
        <ext xmlns:x15="http://schemas.microsoft.com/office/spreadsheetml/2010/11/main" uri="{B97F6D7D-B522-45F9-BDA1-12C45D357490}">
          <x15:cacheHierarchy aggregatedColumn="9"/>
        </ext>
      </extLst>
    </cacheHierarchy>
    <cacheHierarchy uniqueName="[Measures].[Max of Recovery Score]" caption="Max of Recovery Score" measure="1" displayFolder="" measureGroup="Table2" count="0" hidden="1">
      <extLst>
        <ext xmlns:x15="http://schemas.microsoft.com/office/spreadsheetml/2010/11/main" uri="{B97F6D7D-B522-45F9-BDA1-12C45D357490}">
          <x15:cacheHierarchy aggregatedColumn="9"/>
        </ext>
      </extLst>
    </cacheHierarchy>
    <cacheHierarchy uniqueName="[Measures].[StdDev of Recovery Score]" caption="StdDev of Recovery Score" measure="1" displayFolder="" measureGroup="Table2" count="0" hidden="1">
      <extLst>
        <ext xmlns:x15="http://schemas.microsoft.com/office/spreadsheetml/2010/11/main" uri="{B97F6D7D-B522-45F9-BDA1-12C45D357490}">
          <x15:cacheHierarchy aggregatedColumn="9"/>
        </ext>
      </extLst>
    </cacheHierarchy>
    <cacheHierarchy uniqueName="[Measures].[Count of Recovery Score]" caption="Count of Recovery Score" measure="1" displayFolder="" measureGroup="Table2" count="0" hidden="1">
      <extLst>
        <ext xmlns:x15="http://schemas.microsoft.com/office/spreadsheetml/2010/11/main" uri="{B97F6D7D-B522-45F9-BDA1-12C45D357490}">
          <x15:cacheHierarchy aggregatedColumn="9"/>
        </ext>
      </extLst>
    </cacheHierarchy>
    <cacheHierarchy uniqueName="[Measures].[Min of Hospital Stay (Days)]" caption="Min of Hospital Stay (Days)" measure="1" displayFolder="" measureGroup="Table2" count="0" hidden="1">
      <extLst>
        <ext xmlns:x15="http://schemas.microsoft.com/office/spreadsheetml/2010/11/main" uri="{B97F6D7D-B522-45F9-BDA1-12C45D357490}">
          <x15:cacheHierarchy aggregatedColumn="8"/>
        </ext>
      </extLst>
    </cacheHierarchy>
    <cacheHierarchy uniqueName="[Measures].[Distinct Count of Hospital Stay (Days)]" caption="Distinct Count of Hospital Stay (Days)" measure="1" displayFolder="" measureGroup="Table2" count="0" hidden="1">
      <extLst>
        <ext xmlns:x15="http://schemas.microsoft.com/office/spreadsheetml/2010/11/main" uri="{B97F6D7D-B522-45F9-BDA1-12C45D357490}">
          <x15:cacheHierarchy aggregatedColumn="8"/>
        </ext>
      </extLst>
    </cacheHierarchy>
    <cacheHierarchy uniqueName="[Measures].[Count of Department]" caption="Count of Department" measure="1" displayFolder="" measureGroup="Table2" count="0" hidden="1">
      <extLst>
        <ext xmlns:x15="http://schemas.microsoft.com/office/spreadsheetml/2010/11/main" uri="{B97F6D7D-B522-45F9-BDA1-12C45D357490}">
          <x15:cacheHierarchy aggregatedColumn="1"/>
        </ext>
      </extLst>
    </cacheHierarchy>
    <cacheHierarchy uniqueName="[Measures].[Count of Treatment Type]" caption="Count of Treatment Type" measure="1" displayFolder="" measureGroup="Table2" count="0" hidden="1">
      <extLst>
        <ext xmlns:x15="http://schemas.microsoft.com/office/spreadsheetml/2010/11/main" uri="{B97F6D7D-B522-45F9-BDA1-12C45D357490}">
          <x15:cacheHierarchy aggregatedColumn="2"/>
        </ext>
      </extLst>
    </cacheHierarchy>
    <cacheHierarchy uniqueName="[Measures].[Max of Hospital Stay (Days)]" caption="Max of Hospital Stay (Days)" measure="1" displayFolder="" measureGroup="Table2"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kshanya M" refreshedDate="45964.904385300928" backgroundQuery="1" createdVersion="8" refreshedVersion="8" minRefreshableVersion="3" recordCount="0" supportSubquery="1" supportAdvancedDrill="1" xr:uid="{54A3BEC3-9472-45BC-B8B0-0CA695CCB40F}">
  <cacheSource type="external" connectionId="1"/>
  <cacheFields count="5">
    <cacheField name="[Table2].[Department].[Department]" caption="Department" numFmtId="0" hierarchy="1" level="1">
      <sharedItems count="6">
        <s v="Cardiology"/>
        <s v="Gastroenterology"/>
        <s v="Neurology"/>
        <s v="Oncology"/>
        <s v="Orthopedics"/>
        <s v="Pediatrics"/>
      </sharedItems>
    </cacheField>
    <cacheField name="[Measures].[Average of Recovery Score]" caption="Average of Recovery Score" numFmtId="0" hierarchy="19" level="32767"/>
    <cacheField name="[Measures].[Min of Recovery Score]" caption="Min of Recovery Score" numFmtId="0" hierarchy="25" level="32767"/>
    <cacheField name="[Measures].[Max of Recovery Score]" caption="Max of Recovery Score" numFmtId="0" hierarchy="26" level="32767"/>
    <cacheField name="[Table2].[Doctor Name].[Doctor Name]" caption="Doctor Name" numFmtId="0" hierarchy="3" level="1">
      <sharedItems containsSemiMixedTypes="0" containsNonDate="0" containsString="0"/>
    </cacheField>
  </cacheFields>
  <cacheHierarchies count="34">
    <cacheHierarchy uniqueName="[Table2].[Patient ID]" caption="Patient ID" attribute="1" defaultMemberUniqueName="[Table2].[Patient ID].[All]" allUniqueName="[Table2].[Patient ID].[All]" dimensionUniqueName="[Table2]" displayFolder="" count="0" memberValueDatatype="130" unbalanced="0"/>
    <cacheHierarchy uniqueName="[Table2].[Department]" caption="Department" attribute="1" defaultMemberUniqueName="[Table2].[Department].[All]" allUniqueName="[Table2].[Department].[All]" dimensionUniqueName="[Table2]" displayFolder="" count="2" memberValueDatatype="130" unbalanced="0">
      <fieldsUsage count="2">
        <fieldUsage x="-1"/>
        <fieldUsage x="0"/>
      </fieldsUsage>
    </cacheHierarchy>
    <cacheHierarchy uniqueName="[Table2].[Treatment Type]" caption="Treatment Type" attribute="1" defaultMemberUniqueName="[Table2].[Treatment Type].[All]" allUniqueName="[Table2].[Treatment Type].[All]" dimensionUniqueName="[Table2]" displayFolder="" count="2" memberValueDatatype="130" unbalanced="0"/>
    <cacheHierarchy uniqueName="[Table2].[Doctor Name]" caption="Doctor Name" attribute="1" defaultMemberUniqueName="[Table2].[Doctor Name].[All]" allUniqueName="[Table2].[Doctor Name].[All]" dimensionUniqueName="[Table2]" displayFolder="" count="2" memberValueDatatype="130" unbalanced="0">
      <fieldsUsage count="2">
        <fieldUsage x="-1"/>
        <fieldUsage x="4"/>
      </fieldsUsage>
    </cacheHierarchy>
    <cacheHierarchy uniqueName="[Table2].[Gender]" caption="Gender" attribute="1" defaultMemberUniqueName="[Table2].[Gender].[All]" allUniqueName="[Table2].[Gender].[All]" dimensionUniqueName="[Table2]" displayFolder="" count="2" memberValueDatatype="130" unbalanced="0"/>
    <cacheHierarchy uniqueName="[Table2].[Age]" caption="Age" attribute="1" defaultMemberUniqueName="[Table2].[Age].[All]" allUniqueName="[Table2].[Age].[All]" dimensionUniqueName="[Table2]" displayFolder="" count="0" memberValueDatatype="20" unbalanced="0"/>
    <cacheHierarchy uniqueName="[Table2].[Age Group]" caption="Age Group" attribute="1" defaultMemberUniqueName="[Table2].[Age Group].[All]" allUniqueName="[Table2].[Age Group].[All]" dimensionUniqueName="[Table2]" displayFolder="" count="0" memberValueDatatype="130" unbalanced="0"/>
    <cacheHierarchy uniqueName="[Table2].[Treatment Cost]" caption="Treatment Cost" attribute="1" defaultMemberUniqueName="[Table2].[Treatment Cost].[All]" allUniqueName="[Table2].[Treatment Cost].[All]" dimensionUniqueName="[Table2]" displayFolder="" count="0" memberValueDatatype="5" unbalanced="0"/>
    <cacheHierarchy uniqueName="[Table2].[Hospital Stay (Days)]" caption="Hospital Stay (Days)" attribute="1" defaultMemberUniqueName="[Table2].[Hospital Stay (Days)].[All]" allUniqueName="[Table2].[Hospital Stay (Days)].[All]" dimensionUniqueName="[Table2]" displayFolder="" count="0" memberValueDatatype="20" unbalanced="0"/>
    <cacheHierarchy uniqueName="[Table2].[Recovery Score]" caption="Recovery Score" attribute="1" defaultMemberUniqueName="[Table2].[Recovery Score].[All]" allUniqueName="[Table2].[Recovery Score].[All]" dimensionUniqueName="[Table2]" displayFolder="" count="0" memberValueDatatype="2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Patient ID]" caption="Count of Patient ID" measure="1" displayFolder="" measureGroup="Table2"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Table2" count="0" hidden="1">
      <extLst>
        <ext xmlns:x15="http://schemas.microsoft.com/office/spreadsheetml/2010/11/main" uri="{B97F6D7D-B522-45F9-BDA1-12C45D357490}">
          <x15:cacheHierarchy aggregatedColumn="5"/>
        </ext>
      </extLst>
    </cacheHierarchy>
    <cacheHierarchy uniqueName="[Measures].[Average of Age]" caption="Average of Age" measure="1" displayFolder="" measureGroup="Table2" count="0" hidden="1">
      <extLst>
        <ext xmlns:x15="http://schemas.microsoft.com/office/spreadsheetml/2010/11/main" uri="{B97F6D7D-B522-45F9-BDA1-12C45D357490}">
          <x15:cacheHierarchy aggregatedColumn="5"/>
        </ext>
      </extLst>
    </cacheHierarchy>
    <cacheHierarchy uniqueName="[Measures].[Sum of Treatment Cost]" caption="Sum of Treatment Cost" measure="1" displayFolder="" measureGroup="Table2" count="0" hidden="1">
      <extLst>
        <ext xmlns:x15="http://schemas.microsoft.com/office/spreadsheetml/2010/11/main" uri="{B97F6D7D-B522-45F9-BDA1-12C45D357490}">
          <x15:cacheHierarchy aggregatedColumn="7"/>
        </ext>
      </extLst>
    </cacheHierarchy>
    <cacheHierarchy uniqueName="[Measures].[Average of Treatment Cost]" caption="Average of Treatment Cost" measure="1" displayFolder="" measureGroup="Table2" count="0" hidden="1">
      <extLst>
        <ext xmlns:x15="http://schemas.microsoft.com/office/spreadsheetml/2010/11/main" uri="{B97F6D7D-B522-45F9-BDA1-12C45D357490}">
          <x15:cacheHierarchy aggregatedColumn="7"/>
        </ext>
      </extLst>
    </cacheHierarchy>
    <cacheHierarchy uniqueName="[Measures].[Sum of Hospital Stay (Days)]" caption="Sum of Hospital Stay (Days)" measure="1" displayFolder="" measureGroup="Table2" count="0" hidden="1">
      <extLst>
        <ext xmlns:x15="http://schemas.microsoft.com/office/spreadsheetml/2010/11/main" uri="{B97F6D7D-B522-45F9-BDA1-12C45D357490}">
          <x15:cacheHierarchy aggregatedColumn="8"/>
        </ext>
      </extLst>
    </cacheHierarchy>
    <cacheHierarchy uniqueName="[Measures].[Sum of Recovery Score]" caption="Sum of Recovery Score" measure="1" displayFolder="" measureGroup="Table2" count="0" hidden="1">
      <extLst>
        <ext xmlns:x15="http://schemas.microsoft.com/office/spreadsheetml/2010/11/main" uri="{B97F6D7D-B522-45F9-BDA1-12C45D357490}">
          <x15:cacheHierarchy aggregatedColumn="9"/>
        </ext>
      </extLst>
    </cacheHierarchy>
    <cacheHierarchy uniqueName="[Measures].[Average of Recovery Score]" caption="Average of Recovery Score" measure="1" displayFolder="" measureGroup="Table2" count="0" oneField="1" hidden="1">
      <fieldsUsage count="1">
        <fieldUsage x="1"/>
      </fieldsUsage>
      <extLst>
        <ext xmlns:x15="http://schemas.microsoft.com/office/spreadsheetml/2010/11/main" uri="{B97F6D7D-B522-45F9-BDA1-12C45D357490}">
          <x15:cacheHierarchy aggregatedColumn="9"/>
        </ext>
      </extLst>
    </cacheHierarchy>
    <cacheHierarchy uniqueName="[Measures].[Average of Hospital Stay (Days)]" caption="Average of Hospital Stay (Days)" measure="1" displayFolder="" measureGroup="Table2" count="0" hidden="1">
      <extLst>
        <ext xmlns:x15="http://schemas.microsoft.com/office/spreadsheetml/2010/11/main" uri="{B97F6D7D-B522-45F9-BDA1-12C45D357490}">
          <x15:cacheHierarchy aggregatedColumn="8"/>
        </ext>
      </extLst>
    </cacheHierarchy>
    <cacheHierarchy uniqueName="[Measures].[Count of Gender]" caption="Count of Gender" measure="1" displayFolder="" measureGroup="Table2" count="0" hidden="1">
      <extLst>
        <ext xmlns:x15="http://schemas.microsoft.com/office/spreadsheetml/2010/11/main" uri="{B97F6D7D-B522-45F9-BDA1-12C45D357490}">
          <x15:cacheHierarchy aggregatedColumn="4"/>
        </ext>
      </extLst>
    </cacheHierarchy>
    <cacheHierarchy uniqueName="[Measures].[Count of Treatment Cost]" caption="Count of Treatment Cost" measure="1" displayFolder="" measureGroup="Table2" count="0" hidden="1">
      <extLst>
        <ext xmlns:x15="http://schemas.microsoft.com/office/spreadsheetml/2010/11/main" uri="{B97F6D7D-B522-45F9-BDA1-12C45D357490}">
          <x15:cacheHierarchy aggregatedColumn="7"/>
        </ext>
      </extLst>
    </cacheHierarchy>
    <cacheHierarchy uniqueName="[Measures].[Min of Treatment Cost]" caption="Min of Treatment Cost" measure="1" displayFolder="" measureGroup="Table2" count="0" hidden="1">
      <extLst>
        <ext xmlns:x15="http://schemas.microsoft.com/office/spreadsheetml/2010/11/main" uri="{B97F6D7D-B522-45F9-BDA1-12C45D357490}">
          <x15:cacheHierarchy aggregatedColumn="7"/>
        </ext>
      </extLst>
    </cacheHierarchy>
    <cacheHierarchy uniqueName="[Measures].[Max of Treatment Cost]" caption="Max of Treatment Cost" measure="1" displayFolder="" measureGroup="Table2" count="0" hidden="1">
      <extLst>
        <ext xmlns:x15="http://schemas.microsoft.com/office/spreadsheetml/2010/11/main" uri="{B97F6D7D-B522-45F9-BDA1-12C45D357490}">
          <x15:cacheHierarchy aggregatedColumn="7"/>
        </ext>
      </extLst>
    </cacheHierarchy>
    <cacheHierarchy uniqueName="[Measures].[Min of Recovery Score]" caption="Min of Recovery Score" measure="1" displayFolder="" measureGroup="Table2" count="0" oneField="1" hidden="1">
      <fieldsUsage count="1">
        <fieldUsage x="2"/>
      </fieldsUsage>
      <extLst>
        <ext xmlns:x15="http://schemas.microsoft.com/office/spreadsheetml/2010/11/main" uri="{B97F6D7D-B522-45F9-BDA1-12C45D357490}">
          <x15:cacheHierarchy aggregatedColumn="9"/>
        </ext>
      </extLst>
    </cacheHierarchy>
    <cacheHierarchy uniqueName="[Measures].[Max of Recovery Score]" caption="Max of Recovery Score" measure="1" displayFolder="" measureGroup="Table2" count="0" oneField="1" hidden="1">
      <fieldsUsage count="1">
        <fieldUsage x="3"/>
      </fieldsUsage>
      <extLst>
        <ext xmlns:x15="http://schemas.microsoft.com/office/spreadsheetml/2010/11/main" uri="{B97F6D7D-B522-45F9-BDA1-12C45D357490}">
          <x15:cacheHierarchy aggregatedColumn="9"/>
        </ext>
      </extLst>
    </cacheHierarchy>
    <cacheHierarchy uniqueName="[Measures].[StdDev of Recovery Score]" caption="StdDev of Recovery Score" measure="1" displayFolder="" measureGroup="Table2" count="0" hidden="1">
      <extLst>
        <ext xmlns:x15="http://schemas.microsoft.com/office/spreadsheetml/2010/11/main" uri="{B97F6D7D-B522-45F9-BDA1-12C45D357490}">
          <x15:cacheHierarchy aggregatedColumn="9"/>
        </ext>
      </extLst>
    </cacheHierarchy>
    <cacheHierarchy uniqueName="[Measures].[Count of Recovery Score]" caption="Count of Recovery Score" measure="1" displayFolder="" measureGroup="Table2" count="0" hidden="1">
      <extLst>
        <ext xmlns:x15="http://schemas.microsoft.com/office/spreadsheetml/2010/11/main" uri="{B97F6D7D-B522-45F9-BDA1-12C45D357490}">
          <x15:cacheHierarchy aggregatedColumn="9"/>
        </ext>
      </extLst>
    </cacheHierarchy>
    <cacheHierarchy uniqueName="[Measures].[Min of Hospital Stay (Days)]" caption="Min of Hospital Stay (Days)" measure="1" displayFolder="" measureGroup="Table2" count="0" hidden="1">
      <extLst>
        <ext xmlns:x15="http://schemas.microsoft.com/office/spreadsheetml/2010/11/main" uri="{B97F6D7D-B522-45F9-BDA1-12C45D357490}">
          <x15:cacheHierarchy aggregatedColumn="8"/>
        </ext>
      </extLst>
    </cacheHierarchy>
    <cacheHierarchy uniqueName="[Measures].[Distinct Count of Hospital Stay (Days)]" caption="Distinct Count of Hospital Stay (Days)" measure="1" displayFolder="" measureGroup="Table2" count="0" hidden="1">
      <extLst>
        <ext xmlns:x15="http://schemas.microsoft.com/office/spreadsheetml/2010/11/main" uri="{B97F6D7D-B522-45F9-BDA1-12C45D357490}">
          <x15:cacheHierarchy aggregatedColumn="8"/>
        </ext>
      </extLst>
    </cacheHierarchy>
    <cacheHierarchy uniqueName="[Measures].[Count of Department]" caption="Count of Department" measure="1" displayFolder="" measureGroup="Table2" count="0" hidden="1">
      <extLst>
        <ext xmlns:x15="http://schemas.microsoft.com/office/spreadsheetml/2010/11/main" uri="{B97F6D7D-B522-45F9-BDA1-12C45D357490}">
          <x15:cacheHierarchy aggregatedColumn="1"/>
        </ext>
      </extLst>
    </cacheHierarchy>
    <cacheHierarchy uniqueName="[Measures].[Count of Treatment Type]" caption="Count of Treatment Type" measure="1" displayFolder="" measureGroup="Table2" count="0" hidden="1">
      <extLst>
        <ext xmlns:x15="http://schemas.microsoft.com/office/spreadsheetml/2010/11/main" uri="{B97F6D7D-B522-45F9-BDA1-12C45D357490}">
          <x15:cacheHierarchy aggregatedColumn="2"/>
        </ext>
      </extLst>
    </cacheHierarchy>
    <cacheHierarchy uniqueName="[Measures].[Max of Hospital Stay (Days)]" caption="Max of Hospital Stay (Days)" measure="1" displayFolder="" measureGroup="Table2"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kshanya M" refreshedDate="45964.90438576389" backgroundQuery="1" createdVersion="8" refreshedVersion="8" minRefreshableVersion="3" recordCount="0" supportSubquery="1" supportAdvancedDrill="1" xr:uid="{1889FDC6-4AF4-4EE5-A6D3-04B2131116E1}">
  <cacheSource type="external" connectionId="1"/>
  <cacheFields count="3">
    <cacheField name="[Table2].[Treatment Type].[Treatment Type]" caption="Treatment Type" numFmtId="0" hierarchy="2" level="1">
      <sharedItems count="4">
        <s v="Medication"/>
        <s v="Observation"/>
        <s v="Surgery"/>
        <s v="Therapy"/>
      </sharedItems>
    </cacheField>
    <cacheField name="[Measures].[Average of Treatment Cost]" caption="Average of Treatment Cost" numFmtId="0" hierarchy="16" level="32767"/>
    <cacheField name="[Table2].[Doctor Name].[Doctor Name]" caption="Doctor Name" numFmtId="0" hierarchy="3" level="1">
      <sharedItems containsSemiMixedTypes="0" containsNonDate="0" containsString="0"/>
    </cacheField>
  </cacheFields>
  <cacheHierarchies count="34">
    <cacheHierarchy uniqueName="[Table2].[Patient ID]" caption="Patient ID" attribute="1" defaultMemberUniqueName="[Table2].[Patient ID].[All]" allUniqueName="[Table2].[Patient ID].[All]" dimensionUniqueName="[Table2]" displayFolder="" count="0" memberValueDatatype="130" unbalanced="0"/>
    <cacheHierarchy uniqueName="[Table2].[Department]" caption="Department" attribute="1" defaultMemberUniqueName="[Table2].[Department].[All]" allUniqueName="[Table2].[Department].[All]" dimensionUniqueName="[Table2]" displayFolder="" count="2" memberValueDatatype="130" unbalanced="0"/>
    <cacheHierarchy uniqueName="[Table2].[Treatment Type]" caption="Treatment Type" attribute="1" defaultMemberUniqueName="[Table2].[Treatment Type].[All]" allUniqueName="[Table2].[Treatment Type].[All]" dimensionUniqueName="[Table2]" displayFolder="" count="2" memberValueDatatype="130" unbalanced="0">
      <fieldsUsage count="2">
        <fieldUsage x="-1"/>
        <fieldUsage x="0"/>
      </fieldsUsage>
    </cacheHierarchy>
    <cacheHierarchy uniqueName="[Table2].[Doctor Name]" caption="Doctor Name" attribute="1" defaultMemberUniqueName="[Table2].[Doctor Name].[All]" allUniqueName="[Table2].[Doctor Name].[All]" dimensionUniqueName="[Table2]" displayFolder="" count="2" memberValueDatatype="130" unbalanced="0">
      <fieldsUsage count="2">
        <fieldUsage x="-1"/>
        <fieldUsage x="2"/>
      </fieldsUsage>
    </cacheHierarchy>
    <cacheHierarchy uniqueName="[Table2].[Gender]" caption="Gender" attribute="1" defaultMemberUniqueName="[Table2].[Gender].[All]" allUniqueName="[Table2].[Gender].[All]" dimensionUniqueName="[Table2]" displayFolder="" count="2" memberValueDatatype="130" unbalanced="0"/>
    <cacheHierarchy uniqueName="[Table2].[Age]" caption="Age" attribute="1" defaultMemberUniqueName="[Table2].[Age].[All]" allUniqueName="[Table2].[Age].[All]" dimensionUniqueName="[Table2]" displayFolder="" count="0" memberValueDatatype="20" unbalanced="0"/>
    <cacheHierarchy uniqueName="[Table2].[Age Group]" caption="Age Group" attribute="1" defaultMemberUniqueName="[Table2].[Age Group].[All]" allUniqueName="[Table2].[Age Group].[All]" dimensionUniqueName="[Table2]" displayFolder="" count="0" memberValueDatatype="130" unbalanced="0"/>
    <cacheHierarchy uniqueName="[Table2].[Treatment Cost]" caption="Treatment Cost" attribute="1" defaultMemberUniqueName="[Table2].[Treatment Cost].[All]" allUniqueName="[Table2].[Treatment Cost].[All]" dimensionUniqueName="[Table2]" displayFolder="" count="0" memberValueDatatype="5" unbalanced="0"/>
    <cacheHierarchy uniqueName="[Table2].[Hospital Stay (Days)]" caption="Hospital Stay (Days)" attribute="1" defaultMemberUniqueName="[Table2].[Hospital Stay (Days)].[All]" allUniqueName="[Table2].[Hospital Stay (Days)].[All]" dimensionUniqueName="[Table2]" displayFolder="" count="0" memberValueDatatype="20" unbalanced="0"/>
    <cacheHierarchy uniqueName="[Table2].[Recovery Score]" caption="Recovery Score" attribute="1" defaultMemberUniqueName="[Table2].[Recovery Score].[All]" allUniqueName="[Table2].[Recovery Score].[All]" dimensionUniqueName="[Table2]" displayFolder="" count="0" memberValueDatatype="2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Patient ID]" caption="Count of Patient ID" measure="1" displayFolder="" measureGroup="Table2"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Table2" count="0" hidden="1">
      <extLst>
        <ext xmlns:x15="http://schemas.microsoft.com/office/spreadsheetml/2010/11/main" uri="{B97F6D7D-B522-45F9-BDA1-12C45D357490}">
          <x15:cacheHierarchy aggregatedColumn="5"/>
        </ext>
      </extLst>
    </cacheHierarchy>
    <cacheHierarchy uniqueName="[Measures].[Average of Age]" caption="Average of Age" measure="1" displayFolder="" measureGroup="Table2" count="0" hidden="1">
      <extLst>
        <ext xmlns:x15="http://schemas.microsoft.com/office/spreadsheetml/2010/11/main" uri="{B97F6D7D-B522-45F9-BDA1-12C45D357490}">
          <x15:cacheHierarchy aggregatedColumn="5"/>
        </ext>
      </extLst>
    </cacheHierarchy>
    <cacheHierarchy uniqueName="[Measures].[Sum of Treatment Cost]" caption="Sum of Treatment Cost" measure="1" displayFolder="" measureGroup="Table2" count="0" hidden="1">
      <extLst>
        <ext xmlns:x15="http://schemas.microsoft.com/office/spreadsheetml/2010/11/main" uri="{B97F6D7D-B522-45F9-BDA1-12C45D357490}">
          <x15:cacheHierarchy aggregatedColumn="7"/>
        </ext>
      </extLst>
    </cacheHierarchy>
    <cacheHierarchy uniqueName="[Measures].[Average of Treatment Cost]" caption="Average of Treatment Cost" measure="1" displayFolder="" measureGroup="Table2"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Hospital Stay (Days)]" caption="Sum of Hospital Stay (Days)" measure="1" displayFolder="" measureGroup="Table2" count="0" hidden="1">
      <extLst>
        <ext xmlns:x15="http://schemas.microsoft.com/office/spreadsheetml/2010/11/main" uri="{B97F6D7D-B522-45F9-BDA1-12C45D357490}">
          <x15:cacheHierarchy aggregatedColumn="8"/>
        </ext>
      </extLst>
    </cacheHierarchy>
    <cacheHierarchy uniqueName="[Measures].[Sum of Recovery Score]" caption="Sum of Recovery Score" measure="1" displayFolder="" measureGroup="Table2" count="0" hidden="1">
      <extLst>
        <ext xmlns:x15="http://schemas.microsoft.com/office/spreadsheetml/2010/11/main" uri="{B97F6D7D-B522-45F9-BDA1-12C45D357490}">
          <x15:cacheHierarchy aggregatedColumn="9"/>
        </ext>
      </extLst>
    </cacheHierarchy>
    <cacheHierarchy uniqueName="[Measures].[Average of Recovery Score]" caption="Average of Recovery Score" measure="1" displayFolder="" measureGroup="Table2" count="0" hidden="1">
      <extLst>
        <ext xmlns:x15="http://schemas.microsoft.com/office/spreadsheetml/2010/11/main" uri="{B97F6D7D-B522-45F9-BDA1-12C45D357490}">
          <x15:cacheHierarchy aggregatedColumn="9"/>
        </ext>
      </extLst>
    </cacheHierarchy>
    <cacheHierarchy uniqueName="[Measures].[Average of Hospital Stay (Days)]" caption="Average of Hospital Stay (Days)" measure="1" displayFolder="" measureGroup="Table2" count="0" hidden="1">
      <extLst>
        <ext xmlns:x15="http://schemas.microsoft.com/office/spreadsheetml/2010/11/main" uri="{B97F6D7D-B522-45F9-BDA1-12C45D357490}">
          <x15:cacheHierarchy aggregatedColumn="8"/>
        </ext>
      </extLst>
    </cacheHierarchy>
    <cacheHierarchy uniqueName="[Measures].[Count of Gender]" caption="Count of Gender" measure="1" displayFolder="" measureGroup="Table2" count="0" hidden="1">
      <extLst>
        <ext xmlns:x15="http://schemas.microsoft.com/office/spreadsheetml/2010/11/main" uri="{B97F6D7D-B522-45F9-BDA1-12C45D357490}">
          <x15:cacheHierarchy aggregatedColumn="4"/>
        </ext>
      </extLst>
    </cacheHierarchy>
    <cacheHierarchy uniqueName="[Measures].[Count of Treatment Cost]" caption="Count of Treatment Cost" measure="1" displayFolder="" measureGroup="Table2" count="0" hidden="1">
      <extLst>
        <ext xmlns:x15="http://schemas.microsoft.com/office/spreadsheetml/2010/11/main" uri="{B97F6D7D-B522-45F9-BDA1-12C45D357490}">
          <x15:cacheHierarchy aggregatedColumn="7"/>
        </ext>
      </extLst>
    </cacheHierarchy>
    <cacheHierarchy uniqueName="[Measures].[Min of Treatment Cost]" caption="Min of Treatment Cost" measure="1" displayFolder="" measureGroup="Table2" count="0" hidden="1">
      <extLst>
        <ext xmlns:x15="http://schemas.microsoft.com/office/spreadsheetml/2010/11/main" uri="{B97F6D7D-B522-45F9-BDA1-12C45D357490}">
          <x15:cacheHierarchy aggregatedColumn="7"/>
        </ext>
      </extLst>
    </cacheHierarchy>
    <cacheHierarchy uniqueName="[Measures].[Max of Treatment Cost]" caption="Max of Treatment Cost" measure="1" displayFolder="" measureGroup="Table2" count="0" hidden="1">
      <extLst>
        <ext xmlns:x15="http://schemas.microsoft.com/office/spreadsheetml/2010/11/main" uri="{B97F6D7D-B522-45F9-BDA1-12C45D357490}">
          <x15:cacheHierarchy aggregatedColumn="7"/>
        </ext>
      </extLst>
    </cacheHierarchy>
    <cacheHierarchy uniqueName="[Measures].[Min of Recovery Score]" caption="Min of Recovery Score" measure="1" displayFolder="" measureGroup="Table2" count="0" hidden="1">
      <extLst>
        <ext xmlns:x15="http://schemas.microsoft.com/office/spreadsheetml/2010/11/main" uri="{B97F6D7D-B522-45F9-BDA1-12C45D357490}">
          <x15:cacheHierarchy aggregatedColumn="9"/>
        </ext>
      </extLst>
    </cacheHierarchy>
    <cacheHierarchy uniqueName="[Measures].[Max of Recovery Score]" caption="Max of Recovery Score" measure="1" displayFolder="" measureGroup="Table2" count="0" hidden="1">
      <extLst>
        <ext xmlns:x15="http://schemas.microsoft.com/office/spreadsheetml/2010/11/main" uri="{B97F6D7D-B522-45F9-BDA1-12C45D357490}">
          <x15:cacheHierarchy aggregatedColumn="9"/>
        </ext>
      </extLst>
    </cacheHierarchy>
    <cacheHierarchy uniqueName="[Measures].[StdDev of Recovery Score]" caption="StdDev of Recovery Score" measure="1" displayFolder="" measureGroup="Table2" count="0" hidden="1">
      <extLst>
        <ext xmlns:x15="http://schemas.microsoft.com/office/spreadsheetml/2010/11/main" uri="{B97F6D7D-B522-45F9-BDA1-12C45D357490}">
          <x15:cacheHierarchy aggregatedColumn="9"/>
        </ext>
      </extLst>
    </cacheHierarchy>
    <cacheHierarchy uniqueName="[Measures].[Count of Recovery Score]" caption="Count of Recovery Score" measure="1" displayFolder="" measureGroup="Table2" count="0" hidden="1">
      <extLst>
        <ext xmlns:x15="http://schemas.microsoft.com/office/spreadsheetml/2010/11/main" uri="{B97F6D7D-B522-45F9-BDA1-12C45D357490}">
          <x15:cacheHierarchy aggregatedColumn="9"/>
        </ext>
      </extLst>
    </cacheHierarchy>
    <cacheHierarchy uniqueName="[Measures].[Min of Hospital Stay (Days)]" caption="Min of Hospital Stay (Days)" measure="1" displayFolder="" measureGroup="Table2" count="0" hidden="1">
      <extLst>
        <ext xmlns:x15="http://schemas.microsoft.com/office/spreadsheetml/2010/11/main" uri="{B97F6D7D-B522-45F9-BDA1-12C45D357490}">
          <x15:cacheHierarchy aggregatedColumn="8"/>
        </ext>
      </extLst>
    </cacheHierarchy>
    <cacheHierarchy uniqueName="[Measures].[Distinct Count of Hospital Stay (Days)]" caption="Distinct Count of Hospital Stay (Days)" measure="1" displayFolder="" measureGroup="Table2" count="0" hidden="1">
      <extLst>
        <ext xmlns:x15="http://schemas.microsoft.com/office/spreadsheetml/2010/11/main" uri="{B97F6D7D-B522-45F9-BDA1-12C45D357490}">
          <x15:cacheHierarchy aggregatedColumn="8"/>
        </ext>
      </extLst>
    </cacheHierarchy>
    <cacheHierarchy uniqueName="[Measures].[Count of Department]" caption="Count of Department" measure="1" displayFolder="" measureGroup="Table2" count="0" hidden="1">
      <extLst>
        <ext xmlns:x15="http://schemas.microsoft.com/office/spreadsheetml/2010/11/main" uri="{B97F6D7D-B522-45F9-BDA1-12C45D357490}">
          <x15:cacheHierarchy aggregatedColumn="1"/>
        </ext>
      </extLst>
    </cacheHierarchy>
    <cacheHierarchy uniqueName="[Measures].[Count of Treatment Type]" caption="Count of Treatment Type" measure="1" displayFolder="" measureGroup="Table2" count="0" hidden="1">
      <extLst>
        <ext xmlns:x15="http://schemas.microsoft.com/office/spreadsheetml/2010/11/main" uri="{B97F6D7D-B522-45F9-BDA1-12C45D357490}">
          <x15:cacheHierarchy aggregatedColumn="2"/>
        </ext>
      </extLst>
    </cacheHierarchy>
    <cacheHierarchy uniqueName="[Measures].[Max of Hospital Stay (Days)]" caption="Max of Hospital Stay (Days)" measure="1" displayFolder="" measureGroup="Table2"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kshanya M" refreshedDate="45964.904386226852" backgroundQuery="1" createdVersion="8" refreshedVersion="8" minRefreshableVersion="3" recordCount="0" supportSubquery="1" supportAdvancedDrill="1" xr:uid="{EAA9DBB7-3B09-4BC3-AF8D-E18513ABC6A1}">
  <cacheSource type="external" connectionId="1"/>
  <cacheFields count="2">
    <cacheField name="[Measures].[Average of Treatment Cost]" caption="Average of Treatment Cost" numFmtId="0" hierarchy="16" level="32767"/>
    <cacheField name="[Table2].[Doctor Name].[Doctor Name]" caption="Doctor Name" numFmtId="0" hierarchy="3" level="1">
      <sharedItems count="5">
        <s v="Dr. A. Sharma"/>
        <s v="Dr. L. Khan"/>
        <s v="Dr. M. Patel"/>
        <s v="Dr. R. Singh"/>
        <s v="Dr. T. Mehta"/>
      </sharedItems>
    </cacheField>
  </cacheFields>
  <cacheHierarchies count="34">
    <cacheHierarchy uniqueName="[Table2].[Patient ID]" caption="Patient ID" attribute="1" defaultMemberUniqueName="[Table2].[Patient ID].[All]" allUniqueName="[Table2].[Patient ID].[All]" dimensionUniqueName="[Table2]" displayFolder="" count="0" memberValueDatatype="130" unbalanced="0"/>
    <cacheHierarchy uniqueName="[Table2].[Department]" caption="Department" attribute="1" defaultMemberUniqueName="[Table2].[Department].[All]" allUniqueName="[Table2].[Department].[All]" dimensionUniqueName="[Table2]" displayFolder="" count="2" memberValueDatatype="130" unbalanced="0"/>
    <cacheHierarchy uniqueName="[Table2].[Treatment Type]" caption="Treatment Type" attribute="1" defaultMemberUniqueName="[Table2].[Treatment Type].[All]" allUniqueName="[Table2].[Treatment Type].[All]" dimensionUniqueName="[Table2]" displayFolder="" count="2" memberValueDatatype="130" unbalanced="0"/>
    <cacheHierarchy uniqueName="[Table2].[Doctor Name]" caption="Doctor Name" attribute="1" defaultMemberUniqueName="[Table2].[Doctor Name].[All]" allUniqueName="[Table2].[Doctor Name].[All]" dimensionUniqueName="[Table2]" displayFolder="" count="2" memberValueDatatype="130" unbalanced="0">
      <fieldsUsage count="2">
        <fieldUsage x="-1"/>
        <fieldUsage x="1"/>
      </fieldsUsage>
    </cacheHierarchy>
    <cacheHierarchy uniqueName="[Table2].[Gender]" caption="Gender" attribute="1" defaultMemberUniqueName="[Table2].[Gender].[All]" allUniqueName="[Table2].[Gender].[All]" dimensionUniqueName="[Table2]" displayFolder="" count="2" memberValueDatatype="130" unbalanced="0"/>
    <cacheHierarchy uniqueName="[Table2].[Age]" caption="Age" attribute="1" defaultMemberUniqueName="[Table2].[Age].[All]" allUniqueName="[Table2].[Age].[All]" dimensionUniqueName="[Table2]" displayFolder="" count="0" memberValueDatatype="20" unbalanced="0"/>
    <cacheHierarchy uniqueName="[Table2].[Age Group]" caption="Age Group" attribute="1" defaultMemberUniqueName="[Table2].[Age Group].[All]" allUniqueName="[Table2].[Age Group].[All]" dimensionUniqueName="[Table2]" displayFolder="" count="0" memberValueDatatype="130" unbalanced="0"/>
    <cacheHierarchy uniqueName="[Table2].[Treatment Cost]" caption="Treatment Cost" attribute="1" defaultMemberUniqueName="[Table2].[Treatment Cost].[All]" allUniqueName="[Table2].[Treatment Cost].[All]" dimensionUniqueName="[Table2]" displayFolder="" count="0" memberValueDatatype="5" unbalanced="0"/>
    <cacheHierarchy uniqueName="[Table2].[Hospital Stay (Days)]" caption="Hospital Stay (Days)" attribute="1" defaultMemberUniqueName="[Table2].[Hospital Stay (Days)].[All]" allUniqueName="[Table2].[Hospital Stay (Days)].[All]" dimensionUniqueName="[Table2]" displayFolder="" count="0" memberValueDatatype="20" unbalanced="0"/>
    <cacheHierarchy uniqueName="[Table2].[Recovery Score]" caption="Recovery Score" attribute="1" defaultMemberUniqueName="[Table2].[Recovery Score].[All]" allUniqueName="[Table2].[Recovery Score].[All]" dimensionUniqueName="[Table2]" displayFolder="" count="0" memberValueDatatype="2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Patient ID]" caption="Count of Patient ID" measure="1" displayFolder="" measureGroup="Table2"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Table2" count="0" hidden="1">
      <extLst>
        <ext xmlns:x15="http://schemas.microsoft.com/office/spreadsheetml/2010/11/main" uri="{B97F6D7D-B522-45F9-BDA1-12C45D357490}">
          <x15:cacheHierarchy aggregatedColumn="5"/>
        </ext>
      </extLst>
    </cacheHierarchy>
    <cacheHierarchy uniqueName="[Measures].[Average of Age]" caption="Average of Age" measure="1" displayFolder="" measureGroup="Table2" count="0" hidden="1">
      <extLst>
        <ext xmlns:x15="http://schemas.microsoft.com/office/spreadsheetml/2010/11/main" uri="{B97F6D7D-B522-45F9-BDA1-12C45D357490}">
          <x15:cacheHierarchy aggregatedColumn="5"/>
        </ext>
      </extLst>
    </cacheHierarchy>
    <cacheHierarchy uniqueName="[Measures].[Sum of Treatment Cost]" caption="Sum of Treatment Cost" measure="1" displayFolder="" measureGroup="Table2" count="0" hidden="1">
      <extLst>
        <ext xmlns:x15="http://schemas.microsoft.com/office/spreadsheetml/2010/11/main" uri="{B97F6D7D-B522-45F9-BDA1-12C45D357490}">
          <x15:cacheHierarchy aggregatedColumn="7"/>
        </ext>
      </extLst>
    </cacheHierarchy>
    <cacheHierarchy uniqueName="[Measures].[Average of Treatment Cost]" caption="Average of Treatment Cost" measure="1" displayFolder="" measureGroup="Table2"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Hospital Stay (Days)]" caption="Sum of Hospital Stay (Days)" measure="1" displayFolder="" measureGroup="Table2" count="0" hidden="1">
      <extLst>
        <ext xmlns:x15="http://schemas.microsoft.com/office/spreadsheetml/2010/11/main" uri="{B97F6D7D-B522-45F9-BDA1-12C45D357490}">
          <x15:cacheHierarchy aggregatedColumn="8"/>
        </ext>
      </extLst>
    </cacheHierarchy>
    <cacheHierarchy uniqueName="[Measures].[Sum of Recovery Score]" caption="Sum of Recovery Score" measure="1" displayFolder="" measureGroup="Table2" count="0" hidden="1">
      <extLst>
        <ext xmlns:x15="http://schemas.microsoft.com/office/spreadsheetml/2010/11/main" uri="{B97F6D7D-B522-45F9-BDA1-12C45D357490}">
          <x15:cacheHierarchy aggregatedColumn="9"/>
        </ext>
      </extLst>
    </cacheHierarchy>
    <cacheHierarchy uniqueName="[Measures].[Average of Recovery Score]" caption="Average of Recovery Score" measure="1" displayFolder="" measureGroup="Table2" count="0" hidden="1">
      <extLst>
        <ext xmlns:x15="http://schemas.microsoft.com/office/spreadsheetml/2010/11/main" uri="{B97F6D7D-B522-45F9-BDA1-12C45D357490}">
          <x15:cacheHierarchy aggregatedColumn="9"/>
        </ext>
      </extLst>
    </cacheHierarchy>
    <cacheHierarchy uniqueName="[Measures].[Average of Hospital Stay (Days)]" caption="Average of Hospital Stay (Days)" measure="1" displayFolder="" measureGroup="Table2" count="0" hidden="1">
      <extLst>
        <ext xmlns:x15="http://schemas.microsoft.com/office/spreadsheetml/2010/11/main" uri="{B97F6D7D-B522-45F9-BDA1-12C45D357490}">
          <x15:cacheHierarchy aggregatedColumn="8"/>
        </ext>
      </extLst>
    </cacheHierarchy>
    <cacheHierarchy uniqueName="[Measures].[Count of Gender]" caption="Count of Gender" measure="1" displayFolder="" measureGroup="Table2" count="0" hidden="1">
      <extLst>
        <ext xmlns:x15="http://schemas.microsoft.com/office/spreadsheetml/2010/11/main" uri="{B97F6D7D-B522-45F9-BDA1-12C45D357490}">
          <x15:cacheHierarchy aggregatedColumn="4"/>
        </ext>
      </extLst>
    </cacheHierarchy>
    <cacheHierarchy uniqueName="[Measures].[Count of Treatment Cost]" caption="Count of Treatment Cost" measure="1" displayFolder="" measureGroup="Table2" count="0" hidden="1">
      <extLst>
        <ext xmlns:x15="http://schemas.microsoft.com/office/spreadsheetml/2010/11/main" uri="{B97F6D7D-B522-45F9-BDA1-12C45D357490}">
          <x15:cacheHierarchy aggregatedColumn="7"/>
        </ext>
      </extLst>
    </cacheHierarchy>
    <cacheHierarchy uniqueName="[Measures].[Min of Treatment Cost]" caption="Min of Treatment Cost" measure="1" displayFolder="" measureGroup="Table2" count="0" hidden="1">
      <extLst>
        <ext xmlns:x15="http://schemas.microsoft.com/office/spreadsheetml/2010/11/main" uri="{B97F6D7D-B522-45F9-BDA1-12C45D357490}">
          <x15:cacheHierarchy aggregatedColumn="7"/>
        </ext>
      </extLst>
    </cacheHierarchy>
    <cacheHierarchy uniqueName="[Measures].[Max of Treatment Cost]" caption="Max of Treatment Cost" measure="1" displayFolder="" measureGroup="Table2" count="0" hidden="1">
      <extLst>
        <ext xmlns:x15="http://schemas.microsoft.com/office/spreadsheetml/2010/11/main" uri="{B97F6D7D-B522-45F9-BDA1-12C45D357490}">
          <x15:cacheHierarchy aggregatedColumn="7"/>
        </ext>
      </extLst>
    </cacheHierarchy>
    <cacheHierarchy uniqueName="[Measures].[Min of Recovery Score]" caption="Min of Recovery Score" measure="1" displayFolder="" measureGroup="Table2" count="0" hidden="1">
      <extLst>
        <ext xmlns:x15="http://schemas.microsoft.com/office/spreadsheetml/2010/11/main" uri="{B97F6D7D-B522-45F9-BDA1-12C45D357490}">
          <x15:cacheHierarchy aggregatedColumn="9"/>
        </ext>
      </extLst>
    </cacheHierarchy>
    <cacheHierarchy uniqueName="[Measures].[Max of Recovery Score]" caption="Max of Recovery Score" measure="1" displayFolder="" measureGroup="Table2" count="0" hidden="1">
      <extLst>
        <ext xmlns:x15="http://schemas.microsoft.com/office/spreadsheetml/2010/11/main" uri="{B97F6D7D-B522-45F9-BDA1-12C45D357490}">
          <x15:cacheHierarchy aggregatedColumn="9"/>
        </ext>
      </extLst>
    </cacheHierarchy>
    <cacheHierarchy uniqueName="[Measures].[StdDev of Recovery Score]" caption="StdDev of Recovery Score" measure="1" displayFolder="" measureGroup="Table2" count="0" hidden="1">
      <extLst>
        <ext xmlns:x15="http://schemas.microsoft.com/office/spreadsheetml/2010/11/main" uri="{B97F6D7D-B522-45F9-BDA1-12C45D357490}">
          <x15:cacheHierarchy aggregatedColumn="9"/>
        </ext>
      </extLst>
    </cacheHierarchy>
    <cacheHierarchy uniqueName="[Measures].[Count of Recovery Score]" caption="Count of Recovery Score" measure="1" displayFolder="" measureGroup="Table2" count="0" hidden="1">
      <extLst>
        <ext xmlns:x15="http://schemas.microsoft.com/office/spreadsheetml/2010/11/main" uri="{B97F6D7D-B522-45F9-BDA1-12C45D357490}">
          <x15:cacheHierarchy aggregatedColumn="9"/>
        </ext>
      </extLst>
    </cacheHierarchy>
    <cacheHierarchy uniqueName="[Measures].[Min of Hospital Stay (Days)]" caption="Min of Hospital Stay (Days)" measure="1" displayFolder="" measureGroup="Table2" count="0" hidden="1">
      <extLst>
        <ext xmlns:x15="http://schemas.microsoft.com/office/spreadsheetml/2010/11/main" uri="{B97F6D7D-B522-45F9-BDA1-12C45D357490}">
          <x15:cacheHierarchy aggregatedColumn="8"/>
        </ext>
      </extLst>
    </cacheHierarchy>
    <cacheHierarchy uniqueName="[Measures].[Distinct Count of Hospital Stay (Days)]" caption="Distinct Count of Hospital Stay (Days)" measure="1" displayFolder="" measureGroup="Table2" count="0" hidden="1">
      <extLst>
        <ext xmlns:x15="http://schemas.microsoft.com/office/spreadsheetml/2010/11/main" uri="{B97F6D7D-B522-45F9-BDA1-12C45D357490}">
          <x15:cacheHierarchy aggregatedColumn="8"/>
        </ext>
      </extLst>
    </cacheHierarchy>
    <cacheHierarchy uniqueName="[Measures].[Count of Department]" caption="Count of Department" measure="1" displayFolder="" measureGroup="Table2" count="0" hidden="1">
      <extLst>
        <ext xmlns:x15="http://schemas.microsoft.com/office/spreadsheetml/2010/11/main" uri="{B97F6D7D-B522-45F9-BDA1-12C45D357490}">
          <x15:cacheHierarchy aggregatedColumn="1"/>
        </ext>
      </extLst>
    </cacheHierarchy>
    <cacheHierarchy uniqueName="[Measures].[Count of Treatment Type]" caption="Count of Treatment Type" measure="1" displayFolder="" measureGroup="Table2" count="0" hidden="1">
      <extLst>
        <ext xmlns:x15="http://schemas.microsoft.com/office/spreadsheetml/2010/11/main" uri="{B97F6D7D-B522-45F9-BDA1-12C45D357490}">
          <x15:cacheHierarchy aggregatedColumn="2"/>
        </ext>
      </extLst>
    </cacheHierarchy>
    <cacheHierarchy uniqueName="[Measures].[Max of Hospital Stay (Days)]" caption="Max of Hospital Stay (Days)" measure="1" displayFolder="" measureGroup="Table2"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kshanya M" refreshedDate="45964.904386574075" backgroundQuery="1" createdVersion="8" refreshedVersion="8" minRefreshableVersion="3" recordCount="0" supportSubquery="1" supportAdvancedDrill="1" xr:uid="{0D092D6E-D774-4098-95C5-79EAB0AE81F5}">
  <cacheSource type="external" connectionId="1"/>
  <cacheFields count="3">
    <cacheField name="[Table2].[Age Group].[Age Group]" caption="Age Group" numFmtId="0" hierarchy="6" level="1">
      <sharedItems count="6">
        <s v="Adult"/>
        <s v="Child"/>
        <s v="Middle-aged Adult"/>
        <s v="Senior Citizen/Elderly"/>
        <s v="Teenager/Adolescent"/>
        <s v="Young Adult"/>
      </sharedItems>
    </cacheField>
    <cacheField name="[Measures].[Average of Hospital Stay (Days)]" caption="Average of Hospital Stay (Days)" numFmtId="0" hierarchy="20" level="32767"/>
    <cacheField name="[Table2].[Doctor Name].[Doctor Name]" caption="Doctor Name" numFmtId="0" hierarchy="3" level="1">
      <sharedItems containsSemiMixedTypes="0" containsNonDate="0" containsString="0"/>
    </cacheField>
  </cacheFields>
  <cacheHierarchies count="34">
    <cacheHierarchy uniqueName="[Table2].[Patient ID]" caption="Patient ID" attribute="1" defaultMemberUniqueName="[Table2].[Patient ID].[All]" allUniqueName="[Table2].[Patient ID].[All]" dimensionUniqueName="[Table2]" displayFolder="" count="0" memberValueDatatype="130" unbalanced="0"/>
    <cacheHierarchy uniqueName="[Table2].[Department]" caption="Department" attribute="1" defaultMemberUniqueName="[Table2].[Department].[All]" allUniqueName="[Table2].[Department].[All]" dimensionUniqueName="[Table2]" displayFolder="" count="2" memberValueDatatype="130" unbalanced="0"/>
    <cacheHierarchy uniqueName="[Table2].[Treatment Type]" caption="Treatment Type" attribute="1" defaultMemberUniqueName="[Table2].[Treatment Type].[All]" allUniqueName="[Table2].[Treatment Type].[All]" dimensionUniqueName="[Table2]" displayFolder="" count="2" memberValueDatatype="130" unbalanced="0"/>
    <cacheHierarchy uniqueName="[Table2].[Doctor Name]" caption="Doctor Name" attribute="1" defaultMemberUniqueName="[Table2].[Doctor Name].[All]" allUniqueName="[Table2].[Doctor Name].[All]" dimensionUniqueName="[Table2]" displayFolder="" count="2" memberValueDatatype="130" unbalanced="0">
      <fieldsUsage count="2">
        <fieldUsage x="-1"/>
        <fieldUsage x="2"/>
      </fieldsUsage>
    </cacheHierarchy>
    <cacheHierarchy uniqueName="[Table2].[Gender]" caption="Gender" attribute="1" defaultMemberUniqueName="[Table2].[Gender].[All]" allUniqueName="[Table2].[Gender].[All]" dimensionUniqueName="[Table2]" displayFolder="" count="2" memberValueDatatype="130" unbalanced="0"/>
    <cacheHierarchy uniqueName="[Table2].[Age]" caption="Age" attribute="1" defaultMemberUniqueName="[Table2].[Age].[All]" allUniqueName="[Table2].[Age].[All]" dimensionUniqueName="[Table2]" displayFolder="" count="0" memberValueDatatype="20" unbalanced="0"/>
    <cacheHierarchy uniqueName="[Table2].[Age Group]" caption="Age Group" attribute="1" defaultMemberUniqueName="[Table2].[Age Group].[All]" allUniqueName="[Table2].[Age Group].[All]" dimensionUniqueName="[Table2]" displayFolder="" count="2" memberValueDatatype="130" unbalanced="0">
      <fieldsUsage count="2">
        <fieldUsage x="-1"/>
        <fieldUsage x="0"/>
      </fieldsUsage>
    </cacheHierarchy>
    <cacheHierarchy uniqueName="[Table2].[Treatment Cost]" caption="Treatment Cost" attribute="1" defaultMemberUniqueName="[Table2].[Treatment Cost].[All]" allUniqueName="[Table2].[Treatment Cost].[All]" dimensionUniqueName="[Table2]" displayFolder="" count="0" memberValueDatatype="5" unbalanced="0"/>
    <cacheHierarchy uniqueName="[Table2].[Hospital Stay (Days)]" caption="Hospital Stay (Days)" attribute="1" defaultMemberUniqueName="[Table2].[Hospital Stay (Days)].[All]" allUniqueName="[Table2].[Hospital Stay (Days)].[All]" dimensionUniqueName="[Table2]" displayFolder="" count="0" memberValueDatatype="20" unbalanced="0"/>
    <cacheHierarchy uniqueName="[Table2].[Recovery Score]" caption="Recovery Score" attribute="1" defaultMemberUniqueName="[Table2].[Recovery Score].[All]" allUniqueName="[Table2].[Recovery Score].[All]" dimensionUniqueName="[Table2]" displayFolder="" count="0" memberValueDatatype="2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Patient ID]" caption="Count of Patient ID" measure="1" displayFolder="" measureGroup="Table2"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Table2" count="0" hidden="1">
      <extLst>
        <ext xmlns:x15="http://schemas.microsoft.com/office/spreadsheetml/2010/11/main" uri="{B97F6D7D-B522-45F9-BDA1-12C45D357490}">
          <x15:cacheHierarchy aggregatedColumn="5"/>
        </ext>
      </extLst>
    </cacheHierarchy>
    <cacheHierarchy uniqueName="[Measures].[Average of Age]" caption="Average of Age" measure="1" displayFolder="" measureGroup="Table2" count="0" hidden="1">
      <extLst>
        <ext xmlns:x15="http://schemas.microsoft.com/office/spreadsheetml/2010/11/main" uri="{B97F6D7D-B522-45F9-BDA1-12C45D357490}">
          <x15:cacheHierarchy aggregatedColumn="5"/>
        </ext>
      </extLst>
    </cacheHierarchy>
    <cacheHierarchy uniqueName="[Measures].[Sum of Treatment Cost]" caption="Sum of Treatment Cost" measure="1" displayFolder="" measureGroup="Table2" count="0" hidden="1">
      <extLst>
        <ext xmlns:x15="http://schemas.microsoft.com/office/spreadsheetml/2010/11/main" uri="{B97F6D7D-B522-45F9-BDA1-12C45D357490}">
          <x15:cacheHierarchy aggregatedColumn="7"/>
        </ext>
      </extLst>
    </cacheHierarchy>
    <cacheHierarchy uniqueName="[Measures].[Average of Treatment Cost]" caption="Average of Treatment Cost" measure="1" displayFolder="" measureGroup="Table2" count="0" hidden="1">
      <extLst>
        <ext xmlns:x15="http://schemas.microsoft.com/office/spreadsheetml/2010/11/main" uri="{B97F6D7D-B522-45F9-BDA1-12C45D357490}">
          <x15:cacheHierarchy aggregatedColumn="7"/>
        </ext>
      </extLst>
    </cacheHierarchy>
    <cacheHierarchy uniqueName="[Measures].[Sum of Hospital Stay (Days)]" caption="Sum of Hospital Stay (Days)" measure="1" displayFolder="" measureGroup="Table2" count="0" hidden="1">
      <extLst>
        <ext xmlns:x15="http://schemas.microsoft.com/office/spreadsheetml/2010/11/main" uri="{B97F6D7D-B522-45F9-BDA1-12C45D357490}">
          <x15:cacheHierarchy aggregatedColumn="8"/>
        </ext>
      </extLst>
    </cacheHierarchy>
    <cacheHierarchy uniqueName="[Measures].[Sum of Recovery Score]" caption="Sum of Recovery Score" measure="1" displayFolder="" measureGroup="Table2" count="0" hidden="1">
      <extLst>
        <ext xmlns:x15="http://schemas.microsoft.com/office/spreadsheetml/2010/11/main" uri="{B97F6D7D-B522-45F9-BDA1-12C45D357490}">
          <x15:cacheHierarchy aggregatedColumn="9"/>
        </ext>
      </extLst>
    </cacheHierarchy>
    <cacheHierarchy uniqueName="[Measures].[Average of Recovery Score]" caption="Average of Recovery Score" measure="1" displayFolder="" measureGroup="Table2" count="0" hidden="1">
      <extLst>
        <ext xmlns:x15="http://schemas.microsoft.com/office/spreadsheetml/2010/11/main" uri="{B97F6D7D-B522-45F9-BDA1-12C45D357490}">
          <x15:cacheHierarchy aggregatedColumn="9"/>
        </ext>
      </extLst>
    </cacheHierarchy>
    <cacheHierarchy uniqueName="[Measures].[Average of Hospital Stay (Days)]" caption="Average of Hospital Stay (Days)" measure="1" displayFolder="" measureGroup="Table2" count="0" oneField="1" hidden="1">
      <fieldsUsage count="1">
        <fieldUsage x="1"/>
      </fieldsUsage>
      <extLst>
        <ext xmlns:x15="http://schemas.microsoft.com/office/spreadsheetml/2010/11/main" uri="{B97F6D7D-B522-45F9-BDA1-12C45D357490}">
          <x15:cacheHierarchy aggregatedColumn="8"/>
        </ext>
      </extLst>
    </cacheHierarchy>
    <cacheHierarchy uniqueName="[Measures].[Count of Gender]" caption="Count of Gender" measure="1" displayFolder="" measureGroup="Table2" count="0" hidden="1">
      <extLst>
        <ext xmlns:x15="http://schemas.microsoft.com/office/spreadsheetml/2010/11/main" uri="{B97F6D7D-B522-45F9-BDA1-12C45D357490}">
          <x15:cacheHierarchy aggregatedColumn="4"/>
        </ext>
      </extLst>
    </cacheHierarchy>
    <cacheHierarchy uniqueName="[Measures].[Count of Treatment Cost]" caption="Count of Treatment Cost" measure="1" displayFolder="" measureGroup="Table2" count="0" hidden="1">
      <extLst>
        <ext xmlns:x15="http://schemas.microsoft.com/office/spreadsheetml/2010/11/main" uri="{B97F6D7D-B522-45F9-BDA1-12C45D357490}">
          <x15:cacheHierarchy aggregatedColumn="7"/>
        </ext>
      </extLst>
    </cacheHierarchy>
    <cacheHierarchy uniqueName="[Measures].[Min of Treatment Cost]" caption="Min of Treatment Cost" measure="1" displayFolder="" measureGroup="Table2" count="0" hidden="1">
      <extLst>
        <ext xmlns:x15="http://schemas.microsoft.com/office/spreadsheetml/2010/11/main" uri="{B97F6D7D-B522-45F9-BDA1-12C45D357490}">
          <x15:cacheHierarchy aggregatedColumn="7"/>
        </ext>
      </extLst>
    </cacheHierarchy>
    <cacheHierarchy uniqueName="[Measures].[Max of Treatment Cost]" caption="Max of Treatment Cost" measure="1" displayFolder="" measureGroup="Table2" count="0" hidden="1">
      <extLst>
        <ext xmlns:x15="http://schemas.microsoft.com/office/spreadsheetml/2010/11/main" uri="{B97F6D7D-B522-45F9-BDA1-12C45D357490}">
          <x15:cacheHierarchy aggregatedColumn="7"/>
        </ext>
      </extLst>
    </cacheHierarchy>
    <cacheHierarchy uniqueName="[Measures].[Min of Recovery Score]" caption="Min of Recovery Score" measure="1" displayFolder="" measureGroup="Table2" count="0" hidden="1">
      <extLst>
        <ext xmlns:x15="http://schemas.microsoft.com/office/spreadsheetml/2010/11/main" uri="{B97F6D7D-B522-45F9-BDA1-12C45D357490}">
          <x15:cacheHierarchy aggregatedColumn="9"/>
        </ext>
      </extLst>
    </cacheHierarchy>
    <cacheHierarchy uniqueName="[Measures].[Max of Recovery Score]" caption="Max of Recovery Score" measure="1" displayFolder="" measureGroup="Table2" count="0" hidden="1">
      <extLst>
        <ext xmlns:x15="http://schemas.microsoft.com/office/spreadsheetml/2010/11/main" uri="{B97F6D7D-B522-45F9-BDA1-12C45D357490}">
          <x15:cacheHierarchy aggregatedColumn="9"/>
        </ext>
      </extLst>
    </cacheHierarchy>
    <cacheHierarchy uniqueName="[Measures].[StdDev of Recovery Score]" caption="StdDev of Recovery Score" measure="1" displayFolder="" measureGroup="Table2" count="0" hidden="1">
      <extLst>
        <ext xmlns:x15="http://schemas.microsoft.com/office/spreadsheetml/2010/11/main" uri="{B97F6D7D-B522-45F9-BDA1-12C45D357490}">
          <x15:cacheHierarchy aggregatedColumn="9"/>
        </ext>
      </extLst>
    </cacheHierarchy>
    <cacheHierarchy uniqueName="[Measures].[Count of Recovery Score]" caption="Count of Recovery Score" measure="1" displayFolder="" measureGroup="Table2" count="0" hidden="1">
      <extLst>
        <ext xmlns:x15="http://schemas.microsoft.com/office/spreadsheetml/2010/11/main" uri="{B97F6D7D-B522-45F9-BDA1-12C45D357490}">
          <x15:cacheHierarchy aggregatedColumn="9"/>
        </ext>
      </extLst>
    </cacheHierarchy>
    <cacheHierarchy uniqueName="[Measures].[Min of Hospital Stay (Days)]" caption="Min of Hospital Stay (Days)" measure="1" displayFolder="" measureGroup="Table2" count="0" hidden="1">
      <extLst>
        <ext xmlns:x15="http://schemas.microsoft.com/office/spreadsheetml/2010/11/main" uri="{B97F6D7D-B522-45F9-BDA1-12C45D357490}">
          <x15:cacheHierarchy aggregatedColumn="8"/>
        </ext>
      </extLst>
    </cacheHierarchy>
    <cacheHierarchy uniqueName="[Measures].[Distinct Count of Hospital Stay (Days)]" caption="Distinct Count of Hospital Stay (Days)" measure="1" displayFolder="" measureGroup="Table2" count="0" hidden="1">
      <extLst>
        <ext xmlns:x15="http://schemas.microsoft.com/office/spreadsheetml/2010/11/main" uri="{B97F6D7D-B522-45F9-BDA1-12C45D357490}">
          <x15:cacheHierarchy aggregatedColumn="8"/>
        </ext>
      </extLst>
    </cacheHierarchy>
    <cacheHierarchy uniqueName="[Measures].[Count of Department]" caption="Count of Department" measure="1" displayFolder="" measureGroup="Table2" count="0" hidden="1">
      <extLst>
        <ext xmlns:x15="http://schemas.microsoft.com/office/spreadsheetml/2010/11/main" uri="{B97F6D7D-B522-45F9-BDA1-12C45D357490}">
          <x15:cacheHierarchy aggregatedColumn="1"/>
        </ext>
      </extLst>
    </cacheHierarchy>
    <cacheHierarchy uniqueName="[Measures].[Count of Treatment Type]" caption="Count of Treatment Type" measure="1" displayFolder="" measureGroup="Table2" count="0" hidden="1">
      <extLst>
        <ext xmlns:x15="http://schemas.microsoft.com/office/spreadsheetml/2010/11/main" uri="{B97F6D7D-B522-45F9-BDA1-12C45D357490}">
          <x15:cacheHierarchy aggregatedColumn="2"/>
        </ext>
      </extLst>
    </cacheHierarchy>
    <cacheHierarchy uniqueName="[Measures].[Max of Hospital Stay (Days)]" caption="Max of Hospital Stay (Days)" measure="1" displayFolder="" measureGroup="Table2"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kshanya M" refreshedDate="45964.904387037037" backgroundQuery="1" createdVersion="8" refreshedVersion="8" minRefreshableVersion="3" recordCount="0" supportSubquery="1" supportAdvancedDrill="1" xr:uid="{14EDA6D0-8725-4EB8-A83B-9AF3C4D02F6F}">
  <cacheSource type="external" connectionId="1"/>
  <cacheFields count="2">
    <cacheField name="[Table2].[Doctor Name].[Doctor Name]" caption="Doctor Name" numFmtId="0" hierarchy="3" level="1">
      <sharedItems count="5">
        <s v="Dr. A. Sharma"/>
        <s v="Dr. L. Khan"/>
        <s v="Dr. M. Patel"/>
        <s v="Dr. R. Singh"/>
        <s v="Dr. T. Mehta"/>
      </sharedItems>
    </cacheField>
    <cacheField name="[Measures].[Average of Recovery Score]" caption="Average of Recovery Score" numFmtId="0" hierarchy="19" level="32767"/>
  </cacheFields>
  <cacheHierarchies count="34">
    <cacheHierarchy uniqueName="[Table2].[Patient ID]" caption="Patient ID" attribute="1" defaultMemberUniqueName="[Table2].[Patient ID].[All]" allUniqueName="[Table2].[Patient ID].[All]" dimensionUniqueName="[Table2]" displayFolder="" count="0" memberValueDatatype="130" unbalanced="0"/>
    <cacheHierarchy uniqueName="[Table2].[Department]" caption="Department" attribute="1" defaultMemberUniqueName="[Table2].[Department].[All]" allUniqueName="[Table2].[Department].[All]" dimensionUniqueName="[Table2]" displayFolder="" count="2" memberValueDatatype="130" unbalanced="0"/>
    <cacheHierarchy uniqueName="[Table2].[Treatment Type]" caption="Treatment Type" attribute="1" defaultMemberUniqueName="[Table2].[Treatment Type].[All]" allUniqueName="[Table2].[Treatment Type].[All]" dimensionUniqueName="[Table2]" displayFolder="" count="2" memberValueDatatype="130" unbalanced="0"/>
    <cacheHierarchy uniqueName="[Table2].[Doctor Name]" caption="Doctor Name" attribute="1" defaultMemberUniqueName="[Table2].[Doctor Name].[All]" allUniqueName="[Table2].[Doctor Name].[All]" dimensionUniqueName="[Table2]" displayFolder="" count="2" memberValueDatatype="130" unbalanced="0">
      <fieldsUsage count="2">
        <fieldUsage x="-1"/>
        <fieldUsage x="0"/>
      </fieldsUsage>
    </cacheHierarchy>
    <cacheHierarchy uniqueName="[Table2].[Gender]" caption="Gender" attribute="1" defaultMemberUniqueName="[Table2].[Gender].[All]" allUniqueName="[Table2].[Gender].[All]" dimensionUniqueName="[Table2]" displayFolder="" count="2" memberValueDatatype="130" unbalanced="0"/>
    <cacheHierarchy uniqueName="[Table2].[Age]" caption="Age" attribute="1" defaultMemberUniqueName="[Table2].[Age].[All]" allUniqueName="[Table2].[Age].[All]" dimensionUniqueName="[Table2]" displayFolder="" count="0" memberValueDatatype="20" unbalanced="0"/>
    <cacheHierarchy uniqueName="[Table2].[Age Group]" caption="Age Group" attribute="1" defaultMemberUniqueName="[Table2].[Age Group].[All]" allUniqueName="[Table2].[Age Group].[All]" dimensionUniqueName="[Table2]" displayFolder="" count="0" memberValueDatatype="130" unbalanced="0"/>
    <cacheHierarchy uniqueName="[Table2].[Treatment Cost]" caption="Treatment Cost" attribute="1" defaultMemberUniqueName="[Table2].[Treatment Cost].[All]" allUniqueName="[Table2].[Treatment Cost].[All]" dimensionUniqueName="[Table2]" displayFolder="" count="0" memberValueDatatype="5" unbalanced="0"/>
    <cacheHierarchy uniqueName="[Table2].[Hospital Stay (Days)]" caption="Hospital Stay (Days)" attribute="1" defaultMemberUniqueName="[Table2].[Hospital Stay (Days)].[All]" allUniqueName="[Table2].[Hospital Stay (Days)].[All]" dimensionUniqueName="[Table2]" displayFolder="" count="0" memberValueDatatype="20" unbalanced="0"/>
    <cacheHierarchy uniqueName="[Table2].[Recovery Score]" caption="Recovery Score" attribute="1" defaultMemberUniqueName="[Table2].[Recovery Score].[All]" allUniqueName="[Table2].[Recovery Score].[All]" dimensionUniqueName="[Table2]" displayFolder="" count="0" memberValueDatatype="2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Patient ID]" caption="Count of Patient ID" measure="1" displayFolder="" measureGroup="Table2"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Table2" count="0" hidden="1">
      <extLst>
        <ext xmlns:x15="http://schemas.microsoft.com/office/spreadsheetml/2010/11/main" uri="{B97F6D7D-B522-45F9-BDA1-12C45D357490}">
          <x15:cacheHierarchy aggregatedColumn="5"/>
        </ext>
      </extLst>
    </cacheHierarchy>
    <cacheHierarchy uniqueName="[Measures].[Average of Age]" caption="Average of Age" measure="1" displayFolder="" measureGroup="Table2" count="0" hidden="1">
      <extLst>
        <ext xmlns:x15="http://schemas.microsoft.com/office/spreadsheetml/2010/11/main" uri="{B97F6D7D-B522-45F9-BDA1-12C45D357490}">
          <x15:cacheHierarchy aggregatedColumn="5"/>
        </ext>
      </extLst>
    </cacheHierarchy>
    <cacheHierarchy uniqueName="[Measures].[Sum of Treatment Cost]" caption="Sum of Treatment Cost" measure="1" displayFolder="" measureGroup="Table2" count="0" hidden="1">
      <extLst>
        <ext xmlns:x15="http://schemas.microsoft.com/office/spreadsheetml/2010/11/main" uri="{B97F6D7D-B522-45F9-BDA1-12C45D357490}">
          <x15:cacheHierarchy aggregatedColumn="7"/>
        </ext>
      </extLst>
    </cacheHierarchy>
    <cacheHierarchy uniqueName="[Measures].[Average of Treatment Cost]" caption="Average of Treatment Cost" measure="1" displayFolder="" measureGroup="Table2" count="0" hidden="1">
      <extLst>
        <ext xmlns:x15="http://schemas.microsoft.com/office/spreadsheetml/2010/11/main" uri="{B97F6D7D-B522-45F9-BDA1-12C45D357490}">
          <x15:cacheHierarchy aggregatedColumn="7"/>
        </ext>
      </extLst>
    </cacheHierarchy>
    <cacheHierarchy uniqueName="[Measures].[Sum of Hospital Stay (Days)]" caption="Sum of Hospital Stay (Days)" measure="1" displayFolder="" measureGroup="Table2" count="0" hidden="1">
      <extLst>
        <ext xmlns:x15="http://schemas.microsoft.com/office/spreadsheetml/2010/11/main" uri="{B97F6D7D-B522-45F9-BDA1-12C45D357490}">
          <x15:cacheHierarchy aggregatedColumn="8"/>
        </ext>
      </extLst>
    </cacheHierarchy>
    <cacheHierarchy uniqueName="[Measures].[Sum of Recovery Score]" caption="Sum of Recovery Score" measure="1" displayFolder="" measureGroup="Table2" count="0" hidden="1">
      <extLst>
        <ext xmlns:x15="http://schemas.microsoft.com/office/spreadsheetml/2010/11/main" uri="{B97F6D7D-B522-45F9-BDA1-12C45D357490}">
          <x15:cacheHierarchy aggregatedColumn="9"/>
        </ext>
      </extLst>
    </cacheHierarchy>
    <cacheHierarchy uniqueName="[Measures].[Average of Recovery Score]" caption="Average of Recovery Score" measure="1" displayFolder="" measureGroup="Table2" count="0" oneField="1" hidden="1">
      <fieldsUsage count="1">
        <fieldUsage x="1"/>
      </fieldsUsage>
      <extLst>
        <ext xmlns:x15="http://schemas.microsoft.com/office/spreadsheetml/2010/11/main" uri="{B97F6D7D-B522-45F9-BDA1-12C45D357490}">
          <x15:cacheHierarchy aggregatedColumn="9"/>
        </ext>
      </extLst>
    </cacheHierarchy>
    <cacheHierarchy uniqueName="[Measures].[Average of Hospital Stay (Days)]" caption="Average of Hospital Stay (Days)" measure="1" displayFolder="" measureGroup="Table2" count="0" hidden="1">
      <extLst>
        <ext xmlns:x15="http://schemas.microsoft.com/office/spreadsheetml/2010/11/main" uri="{B97F6D7D-B522-45F9-BDA1-12C45D357490}">
          <x15:cacheHierarchy aggregatedColumn="8"/>
        </ext>
      </extLst>
    </cacheHierarchy>
    <cacheHierarchy uniqueName="[Measures].[Count of Gender]" caption="Count of Gender" measure="1" displayFolder="" measureGroup="Table2" count="0" hidden="1">
      <extLst>
        <ext xmlns:x15="http://schemas.microsoft.com/office/spreadsheetml/2010/11/main" uri="{B97F6D7D-B522-45F9-BDA1-12C45D357490}">
          <x15:cacheHierarchy aggregatedColumn="4"/>
        </ext>
      </extLst>
    </cacheHierarchy>
    <cacheHierarchy uniqueName="[Measures].[Count of Treatment Cost]" caption="Count of Treatment Cost" measure="1" displayFolder="" measureGroup="Table2" count="0" hidden="1">
      <extLst>
        <ext xmlns:x15="http://schemas.microsoft.com/office/spreadsheetml/2010/11/main" uri="{B97F6D7D-B522-45F9-BDA1-12C45D357490}">
          <x15:cacheHierarchy aggregatedColumn="7"/>
        </ext>
      </extLst>
    </cacheHierarchy>
    <cacheHierarchy uniqueName="[Measures].[Min of Treatment Cost]" caption="Min of Treatment Cost" measure="1" displayFolder="" measureGroup="Table2" count="0" hidden="1">
      <extLst>
        <ext xmlns:x15="http://schemas.microsoft.com/office/spreadsheetml/2010/11/main" uri="{B97F6D7D-B522-45F9-BDA1-12C45D357490}">
          <x15:cacheHierarchy aggregatedColumn="7"/>
        </ext>
      </extLst>
    </cacheHierarchy>
    <cacheHierarchy uniqueName="[Measures].[Max of Treatment Cost]" caption="Max of Treatment Cost" measure="1" displayFolder="" measureGroup="Table2" count="0" hidden="1">
      <extLst>
        <ext xmlns:x15="http://schemas.microsoft.com/office/spreadsheetml/2010/11/main" uri="{B97F6D7D-B522-45F9-BDA1-12C45D357490}">
          <x15:cacheHierarchy aggregatedColumn="7"/>
        </ext>
      </extLst>
    </cacheHierarchy>
    <cacheHierarchy uniqueName="[Measures].[Min of Recovery Score]" caption="Min of Recovery Score" measure="1" displayFolder="" measureGroup="Table2" count="0" hidden="1">
      <extLst>
        <ext xmlns:x15="http://schemas.microsoft.com/office/spreadsheetml/2010/11/main" uri="{B97F6D7D-B522-45F9-BDA1-12C45D357490}">
          <x15:cacheHierarchy aggregatedColumn="9"/>
        </ext>
      </extLst>
    </cacheHierarchy>
    <cacheHierarchy uniqueName="[Measures].[Max of Recovery Score]" caption="Max of Recovery Score" measure="1" displayFolder="" measureGroup="Table2" count="0" hidden="1">
      <extLst>
        <ext xmlns:x15="http://schemas.microsoft.com/office/spreadsheetml/2010/11/main" uri="{B97F6D7D-B522-45F9-BDA1-12C45D357490}">
          <x15:cacheHierarchy aggregatedColumn="9"/>
        </ext>
      </extLst>
    </cacheHierarchy>
    <cacheHierarchy uniqueName="[Measures].[StdDev of Recovery Score]" caption="StdDev of Recovery Score" measure="1" displayFolder="" measureGroup="Table2" count="0" hidden="1">
      <extLst>
        <ext xmlns:x15="http://schemas.microsoft.com/office/spreadsheetml/2010/11/main" uri="{B97F6D7D-B522-45F9-BDA1-12C45D357490}">
          <x15:cacheHierarchy aggregatedColumn="9"/>
        </ext>
      </extLst>
    </cacheHierarchy>
    <cacheHierarchy uniqueName="[Measures].[Count of Recovery Score]" caption="Count of Recovery Score" measure="1" displayFolder="" measureGroup="Table2" count="0" hidden="1">
      <extLst>
        <ext xmlns:x15="http://schemas.microsoft.com/office/spreadsheetml/2010/11/main" uri="{B97F6D7D-B522-45F9-BDA1-12C45D357490}">
          <x15:cacheHierarchy aggregatedColumn="9"/>
        </ext>
      </extLst>
    </cacheHierarchy>
    <cacheHierarchy uniqueName="[Measures].[Min of Hospital Stay (Days)]" caption="Min of Hospital Stay (Days)" measure="1" displayFolder="" measureGroup="Table2" count="0" hidden="1">
      <extLst>
        <ext xmlns:x15="http://schemas.microsoft.com/office/spreadsheetml/2010/11/main" uri="{B97F6D7D-B522-45F9-BDA1-12C45D357490}">
          <x15:cacheHierarchy aggregatedColumn="8"/>
        </ext>
      </extLst>
    </cacheHierarchy>
    <cacheHierarchy uniqueName="[Measures].[Distinct Count of Hospital Stay (Days)]" caption="Distinct Count of Hospital Stay (Days)" measure="1" displayFolder="" measureGroup="Table2" count="0" hidden="1">
      <extLst>
        <ext xmlns:x15="http://schemas.microsoft.com/office/spreadsheetml/2010/11/main" uri="{B97F6D7D-B522-45F9-BDA1-12C45D357490}">
          <x15:cacheHierarchy aggregatedColumn="8"/>
        </ext>
      </extLst>
    </cacheHierarchy>
    <cacheHierarchy uniqueName="[Measures].[Count of Department]" caption="Count of Department" measure="1" displayFolder="" measureGroup="Table2" count="0" hidden="1">
      <extLst>
        <ext xmlns:x15="http://schemas.microsoft.com/office/spreadsheetml/2010/11/main" uri="{B97F6D7D-B522-45F9-BDA1-12C45D357490}">
          <x15:cacheHierarchy aggregatedColumn="1"/>
        </ext>
      </extLst>
    </cacheHierarchy>
    <cacheHierarchy uniqueName="[Measures].[Count of Treatment Type]" caption="Count of Treatment Type" measure="1" displayFolder="" measureGroup="Table2" count="0" hidden="1">
      <extLst>
        <ext xmlns:x15="http://schemas.microsoft.com/office/spreadsheetml/2010/11/main" uri="{B97F6D7D-B522-45F9-BDA1-12C45D357490}">
          <x15:cacheHierarchy aggregatedColumn="2"/>
        </ext>
      </extLst>
    </cacheHierarchy>
    <cacheHierarchy uniqueName="[Measures].[Max of Hospital Stay (Days)]" caption="Max of Hospital Stay (Days)" measure="1" displayFolder="" measureGroup="Table2"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kshanya M" refreshedDate="45964.904387499999" backgroundQuery="1" createdVersion="8" refreshedVersion="8" minRefreshableVersion="3" recordCount="0" supportSubquery="1" supportAdvancedDrill="1" xr:uid="{3E37C301-B6A1-4DF4-98B7-AE01558E4D61}">
  <cacheSource type="external" connectionId="1"/>
  <cacheFields count="3">
    <cacheField name="[Table2].[Gender].[Gender]" caption="Gender" numFmtId="0" hierarchy="4" level="1">
      <sharedItems count="3">
        <s v="Female"/>
        <s v="Male"/>
        <s v="Other"/>
      </sharedItems>
    </cacheField>
    <cacheField name="[Measures].[Count of Patient ID]" caption="Count of Patient ID" numFmtId="0" hierarchy="12" level="32767"/>
    <cacheField name="[Table2].[Doctor Name].[Doctor Name]" caption="Doctor Name" numFmtId="0" hierarchy="3" level="1">
      <sharedItems containsSemiMixedTypes="0" containsNonDate="0" containsString="0"/>
    </cacheField>
  </cacheFields>
  <cacheHierarchies count="34">
    <cacheHierarchy uniqueName="[Table2].[Patient ID]" caption="Patient ID" attribute="1" defaultMemberUniqueName="[Table2].[Patient ID].[All]" allUniqueName="[Table2].[Patient ID].[All]" dimensionUniqueName="[Table2]" displayFolder="" count="0" memberValueDatatype="130" unbalanced="0"/>
    <cacheHierarchy uniqueName="[Table2].[Department]" caption="Department" attribute="1" defaultMemberUniqueName="[Table2].[Department].[All]" allUniqueName="[Table2].[Department].[All]" dimensionUniqueName="[Table2]" displayFolder="" count="2" memberValueDatatype="130" unbalanced="0"/>
    <cacheHierarchy uniqueName="[Table2].[Treatment Type]" caption="Treatment Type" attribute="1" defaultMemberUniqueName="[Table2].[Treatment Type].[All]" allUniqueName="[Table2].[Treatment Type].[All]" dimensionUniqueName="[Table2]" displayFolder="" count="2" memberValueDatatype="130" unbalanced="0"/>
    <cacheHierarchy uniqueName="[Table2].[Doctor Name]" caption="Doctor Name" attribute="1" defaultMemberUniqueName="[Table2].[Doctor Name].[All]" allUniqueName="[Table2].[Doctor Name].[All]" dimensionUniqueName="[Table2]" displayFolder="" count="2" memberValueDatatype="130" unbalanced="0">
      <fieldsUsage count="2">
        <fieldUsage x="-1"/>
        <fieldUsage x="2"/>
      </fieldsUsage>
    </cacheHierarchy>
    <cacheHierarchy uniqueName="[Table2].[Gender]" caption="Gender" attribute="1" defaultMemberUniqueName="[Table2].[Gender].[All]" allUniqueName="[Table2].[Gender].[All]" dimensionUniqueName="[Table2]" displayFolder="" count="2" memberValueDatatype="130" unbalanced="0">
      <fieldsUsage count="2">
        <fieldUsage x="-1"/>
        <fieldUsage x="0"/>
      </fieldsUsage>
    </cacheHierarchy>
    <cacheHierarchy uniqueName="[Table2].[Age]" caption="Age" attribute="1" defaultMemberUniqueName="[Table2].[Age].[All]" allUniqueName="[Table2].[Age].[All]" dimensionUniqueName="[Table2]" displayFolder="" count="0" memberValueDatatype="20" unbalanced="0"/>
    <cacheHierarchy uniqueName="[Table2].[Age Group]" caption="Age Group" attribute="1" defaultMemberUniqueName="[Table2].[Age Group].[All]" allUniqueName="[Table2].[Age Group].[All]" dimensionUniqueName="[Table2]" displayFolder="" count="0" memberValueDatatype="130" unbalanced="0"/>
    <cacheHierarchy uniqueName="[Table2].[Treatment Cost]" caption="Treatment Cost" attribute="1" defaultMemberUniqueName="[Table2].[Treatment Cost].[All]" allUniqueName="[Table2].[Treatment Cost].[All]" dimensionUniqueName="[Table2]" displayFolder="" count="0" memberValueDatatype="5" unbalanced="0"/>
    <cacheHierarchy uniqueName="[Table2].[Hospital Stay (Days)]" caption="Hospital Stay (Days)" attribute="1" defaultMemberUniqueName="[Table2].[Hospital Stay (Days)].[All]" allUniqueName="[Table2].[Hospital Stay (Days)].[All]" dimensionUniqueName="[Table2]" displayFolder="" count="0" memberValueDatatype="20" unbalanced="0"/>
    <cacheHierarchy uniqueName="[Table2].[Recovery Score]" caption="Recovery Score" attribute="1" defaultMemberUniqueName="[Table2].[Recovery Score].[All]" allUniqueName="[Table2].[Recovery Score].[All]" dimensionUniqueName="[Table2]" displayFolder="" count="0" memberValueDatatype="2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Patient ID]" caption="Count of Patient ID" measure="1" displayFolder="" measureGroup="Table2"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Age]" caption="Sum of Age" measure="1" displayFolder="" measureGroup="Table2" count="0" hidden="1">
      <extLst>
        <ext xmlns:x15="http://schemas.microsoft.com/office/spreadsheetml/2010/11/main" uri="{B97F6D7D-B522-45F9-BDA1-12C45D357490}">
          <x15:cacheHierarchy aggregatedColumn="5"/>
        </ext>
      </extLst>
    </cacheHierarchy>
    <cacheHierarchy uniqueName="[Measures].[Average of Age]" caption="Average of Age" measure="1" displayFolder="" measureGroup="Table2" count="0" hidden="1">
      <extLst>
        <ext xmlns:x15="http://schemas.microsoft.com/office/spreadsheetml/2010/11/main" uri="{B97F6D7D-B522-45F9-BDA1-12C45D357490}">
          <x15:cacheHierarchy aggregatedColumn="5"/>
        </ext>
      </extLst>
    </cacheHierarchy>
    <cacheHierarchy uniqueName="[Measures].[Sum of Treatment Cost]" caption="Sum of Treatment Cost" measure="1" displayFolder="" measureGroup="Table2" count="0" hidden="1">
      <extLst>
        <ext xmlns:x15="http://schemas.microsoft.com/office/spreadsheetml/2010/11/main" uri="{B97F6D7D-B522-45F9-BDA1-12C45D357490}">
          <x15:cacheHierarchy aggregatedColumn="7"/>
        </ext>
      </extLst>
    </cacheHierarchy>
    <cacheHierarchy uniqueName="[Measures].[Average of Treatment Cost]" caption="Average of Treatment Cost" measure="1" displayFolder="" measureGroup="Table2" count="0" hidden="1">
      <extLst>
        <ext xmlns:x15="http://schemas.microsoft.com/office/spreadsheetml/2010/11/main" uri="{B97F6D7D-B522-45F9-BDA1-12C45D357490}">
          <x15:cacheHierarchy aggregatedColumn="7"/>
        </ext>
      </extLst>
    </cacheHierarchy>
    <cacheHierarchy uniqueName="[Measures].[Sum of Hospital Stay (Days)]" caption="Sum of Hospital Stay (Days)" measure="1" displayFolder="" measureGroup="Table2" count="0" hidden="1">
      <extLst>
        <ext xmlns:x15="http://schemas.microsoft.com/office/spreadsheetml/2010/11/main" uri="{B97F6D7D-B522-45F9-BDA1-12C45D357490}">
          <x15:cacheHierarchy aggregatedColumn="8"/>
        </ext>
      </extLst>
    </cacheHierarchy>
    <cacheHierarchy uniqueName="[Measures].[Sum of Recovery Score]" caption="Sum of Recovery Score" measure="1" displayFolder="" measureGroup="Table2" count="0" hidden="1">
      <extLst>
        <ext xmlns:x15="http://schemas.microsoft.com/office/spreadsheetml/2010/11/main" uri="{B97F6D7D-B522-45F9-BDA1-12C45D357490}">
          <x15:cacheHierarchy aggregatedColumn="9"/>
        </ext>
      </extLst>
    </cacheHierarchy>
    <cacheHierarchy uniqueName="[Measures].[Average of Recovery Score]" caption="Average of Recovery Score" measure="1" displayFolder="" measureGroup="Table2" count="0" hidden="1">
      <extLst>
        <ext xmlns:x15="http://schemas.microsoft.com/office/spreadsheetml/2010/11/main" uri="{B97F6D7D-B522-45F9-BDA1-12C45D357490}">
          <x15:cacheHierarchy aggregatedColumn="9"/>
        </ext>
      </extLst>
    </cacheHierarchy>
    <cacheHierarchy uniqueName="[Measures].[Average of Hospital Stay (Days)]" caption="Average of Hospital Stay (Days)" measure="1" displayFolder="" measureGroup="Table2" count="0" hidden="1">
      <extLst>
        <ext xmlns:x15="http://schemas.microsoft.com/office/spreadsheetml/2010/11/main" uri="{B97F6D7D-B522-45F9-BDA1-12C45D357490}">
          <x15:cacheHierarchy aggregatedColumn="8"/>
        </ext>
      </extLst>
    </cacheHierarchy>
    <cacheHierarchy uniqueName="[Measures].[Count of Gender]" caption="Count of Gender" measure="1" displayFolder="" measureGroup="Table2" count="0" hidden="1">
      <extLst>
        <ext xmlns:x15="http://schemas.microsoft.com/office/spreadsheetml/2010/11/main" uri="{B97F6D7D-B522-45F9-BDA1-12C45D357490}">
          <x15:cacheHierarchy aggregatedColumn="4"/>
        </ext>
      </extLst>
    </cacheHierarchy>
    <cacheHierarchy uniqueName="[Measures].[Count of Treatment Cost]" caption="Count of Treatment Cost" measure="1" displayFolder="" measureGroup="Table2" count="0" hidden="1">
      <extLst>
        <ext xmlns:x15="http://schemas.microsoft.com/office/spreadsheetml/2010/11/main" uri="{B97F6D7D-B522-45F9-BDA1-12C45D357490}">
          <x15:cacheHierarchy aggregatedColumn="7"/>
        </ext>
      </extLst>
    </cacheHierarchy>
    <cacheHierarchy uniqueName="[Measures].[Min of Treatment Cost]" caption="Min of Treatment Cost" measure="1" displayFolder="" measureGroup="Table2" count="0" hidden="1">
      <extLst>
        <ext xmlns:x15="http://schemas.microsoft.com/office/spreadsheetml/2010/11/main" uri="{B97F6D7D-B522-45F9-BDA1-12C45D357490}">
          <x15:cacheHierarchy aggregatedColumn="7"/>
        </ext>
      </extLst>
    </cacheHierarchy>
    <cacheHierarchy uniqueName="[Measures].[Max of Treatment Cost]" caption="Max of Treatment Cost" measure="1" displayFolder="" measureGroup="Table2" count="0" hidden="1">
      <extLst>
        <ext xmlns:x15="http://schemas.microsoft.com/office/spreadsheetml/2010/11/main" uri="{B97F6D7D-B522-45F9-BDA1-12C45D357490}">
          <x15:cacheHierarchy aggregatedColumn="7"/>
        </ext>
      </extLst>
    </cacheHierarchy>
    <cacheHierarchy uniqueName="[Measures].[Min of Recovery Score]" caption="Min of Recovery Score" measure="1" displayFolder="" measureGroup="Table2" count="0" hidden="1">
      <extLst>
        <ext xmlns:x15="http://schemas.microsoft.com/office/spreadsheetml/2010/11/main" uri="{B97F6D7D-B522-45F9-BDA1-12C45D357490}">
          <x15:cacheHierarchy aggregatedColumn="9"/>
        </ext>
      </extLst>
    </cacheHierarchy>
    <cacheHierarchy uniqueName="[Measures].[Max of Recovery Score]" caption="Max of Recovery Score" measure="1" displayFolder="" measureGroup="Table2" count="0" hidden="1">
      <extLst>
        <ext xmlns:x15="http://schemas.microsoft.com/office/spreadsheetml/2010/11/main" uri="{B97F6D7D-B522-45F9-BDA1-12C45D357490}">
          <x15:cacheHierarchy aggregatedColumn="9"/>
        </ext>
      </extLst>
    </cacheHierarchy>
    <cacheHierarchy uniqueName="[Measures].[StdDev of Recovery Score]" caption="StdDev of Recovery Score" measure="1" displayFolder="" measureGroup="Table2" count="0" hidden="1">
      <extLst>
        <ext xmlns:x15="http://schemas.microsoft.com/office/spreadsheetml/2010/11/main" uri="{B97F6D7D-B522-45F9-BDA1-12C45D357490}">
          <x15:cacheHierarchy aggregatedColumn="9"/>
        </ext>
      </extLst>
    </cacheHierarchy>
    <cacheHierarchy uniqueName="[Measures].[Count of Recovery Score]" caption="Count of Recovery Score" measure="1" displayFolder="" measureGroup="Table2" count="0" hidden="1">
      <extLst>
        <ext xmlns:x15="http://schemas.microsoft.com/office/spreadsheetml/2010/11/main" uri="{B97F6D7D-B522-45F9-BDA1-12C45D357490}">
          <x15:cacheHierarchy aggregatedColumn="9"/>
        </ext>
      </extLst>
    </cacheHierarchy>
    <cacheHierarchy uniqueName="[Measures].[Min of Hospital Stay (Days)]" caption="Min of Hospital Stay (Days)" measure="1" displayFolder="" measureGroup="Table2" count="0" hidden="1">
      <extLst>
        <ext xmlns:x15="http://schemas.microsoft.com/office/spreadsheetml/2010/11/main" uri="{B97F6D7D-B522-45F9-BDA1-12C45D357490}">
          <x15:cacheHierarchy aggregatedColumn="8"/>
        </ext>
      </extLst>
    </cacheHierarchy>
    <cacheHierarchy uniqueName="[Measures].[Distinct Count of Hospital Stay (Days)]" caption="Distinct Count of Hospital Stay (Days)" measure="1" displayFolder="" measureGroup="Table2" count="0" hidden="1">
      <extLst>
        <ext xmlns:x15="http://schemas.microsoft.com/office/spreadsheetml/2010/11/main" uri="{B97F6D7D-B522-45F9-BDA1-12C45D357490}">
          <x15:cacheHierarchy aggregatedColumn="8"/>
        </ext>
      </extLst>
    </cacheHierarchy>
    <cacheHierarchy uniqueName="[Measures].[Count of Department]" caption="Count of Department" measure="1" displayFolder="" measureGroup="Table2" count="0" hidden="1">
      <extLst>
        <ext xmlns:x15="http://schemas.microsoft.com/office/spreadsheetml/2010/11/main" uri="{B97F6D7D-B522-45F9-BDA1-12C45D357490}">
          <x15:cacheHierarchy aggregatedColumn="1"/>
        </ext>
      </extLst>
    </cacheHierarchy>
    <cacheHierarchy uniqueName="[Measures].[Count of Treatment Type]" caption="Count of Treatment Type" measure="1" displayFolder="" measureGroup="Table2" count="0" hidden="1">
      <extLst>
        <ext xmlns:x15="http://schemas.microsoft.com/office/spreadsheetml/2010/11/main" uri="{B97F6D7D-B522-45F9-BDA1-12C45D357490}">
          <x15:cacheHierarchy aggregatedColumn="2"/>
        </ext>
      </extLst>
    </cacheHierarchy>
    <cacheHierarchy uniqueName="[Measures].[Max of Hospital Stay (Days)]" caption="Max of Hospital Stay (Days)" measure="1" displayFolder="" measureGroup="Table2"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kshanya M" refreshedDate="45964.904387847222" backgroundQuery="1" createdVersion="8" refreshedVersion="8" minRefreshableVersion="3" recordCount="0" supportSubquery="1" supportAdvancedDrill="1" xr:uid="{5E8D90E5-B958-47BC-8DA8-CBBCE468B7E9}">
  <cacheSource type="external" connectionId="1"/>
  <cacheFields count="3">
    <cacheField name="[Measures].[Count of Patient ID]" caption="Count of Patient ID" numFmtId="0" hierarchy="12" level="32767"/>
    <cacheField name="[Table2].[Treatment Type].[Treatment Type]" caption="Treatment Type" numFmtId="0" hierarchy="2" level="1">
      <sharedItems count="4">
        <s v="Medication"/>
        <s v="Observation"/>
        <s v="Surgery"/>
        <s v="Therapy"/>
      </sharedItems>
    </cacheField>
    <cacheField name="[Table2].[Doctor Name].[Doctor Name]" caption="Doctor Name" numFmtId="0" hierarchy="3" level="1">
      <sharedItems containsSemiMixedTypes="0" containsNonDate="0" containsString="0"/>
    </cacheField>
  </cacheFields>
  <cacheHierarchies count="34">
    <cacheHierarchy uniqueName="[Table2].[Patient ID]" caption="Patient ID" attribute="1" defaultMemberUniqueName="[Table2].[Patient ID].[All]" allUniqueName="[Table2].[Patient ID].[All]" dimensionUniqueName="[Table2]" displayFolder="" count="0" memberValueDatatype="130" unbalanced="0"/>
    <cacheHierarchy uniqueName="[Table2].[Department]" caption="Department" attribute="1" defaultMemberUniqueName="[Table2].[Department].[All]" allUniqueName="[Table2].[Department].[All]" dimensionUniqueName="[Table2]" displayFolder="" count="2" memberValueDatatype="130" unbalanced="0"/>
    <cacheHierarchy uniqueName="[Table2].[Treatment Type]" caption="Treatment Type" attribute="1" defaultMemberUniqueName="[Table2].[Treatment Type].[All]" allUniqueName="[Table2].[Treatment Type].[All]" dimensionUniqueName="[Table2]" displayFolder="" count="2" memberValueDatatype="130" unbalanced="0">
      <fieldsUsage count="2">
        <fieldUsage x="-1"/>
        <fieldUsage x="1"/>
      </fieldsUsage>
    </cacheHierarchy>
    <cacheHierarchy uniqueName="[Table2].[Doctor Name]" caption="Doctor Name" attribute="1" defaultMemberUniqueName="[Table2].[Doctor Name].[All]" allUniqueName="[Table2].[Doctor Name].[All]" dimensionUniqueName="[Table2]" displayFolder="" count="2" memberValueDatatype="130" unbalanced="0">
      <fieldsUsage count="2">
        <fieldUsage x="-1"/>
        <fieldUsage x="2"/>
      </fieldsUsage>
    </cacheHierarchy>
    <cacheHierarchy uniqueName="[Table2].[Gender]" caption="Gender" attribute="1" defaultMemberUniqueName="[Table2].[Gender].[All]" allUniqueName="[Table2].[Gender].[All]" dimensionUniqueName="[Table2]" displayFolder="" count="2" memberValueDatatype="130" unbalanced="0"/>
    <cacheHierarchy uniqueName="[Table2].[Age]" caption="Age" attribute="1" defaultMemberUniqueName="[Table2].[Age].[All]" allUniqueName="[Table2].[Age].[All]" dimensionUniqueName="[Table2]" displayFolder="" count="0" memberValueDatatype="20" unbalanced="0"/>
    <cacheHierarchy uniqueName="[Table2].[Age Group]" caption="Age Group" attribute="1" defaultMemberUniqueName="[Table2].[Age Group].[All]" allUniqueName="[Table2].[Age Group].[All]" dimensionUniqueName="[Table2]" displayFolder="" count="0" memberValueDatatype="130" unbalanced="0"/>
    <cacheHierarchy uniqueName="[Table2].[Treatment Cost]" caption="Treatment Cost" attribute="1" defaultMemberUniqueName="[Table2].[Treatment Cost].[All]" allUniqueName="[Table2].[Treatment Cost].[All]" dimensionUniqueName="[Table2]" displayFolder="" count="0" memberValueDatatype="5" unbalanced="0"/>
    <cacheHierarchy uniqueName="[Table2].[Hospital Stay (Days)]" caption="Hospital Stay (Days)" attribute="1" defaultMemberUniqueName="[Table2].[Hospital Stay (Days)].[All]" allUniqueName="[Table2].[Hospital Stay (Days)].[All]" dimensionUniqueName="[Table2]" displayFolder="" count="0" memberValueDatatype="20" unbalanced="0"/>
    <cacheHierarchy uniqueName="[Table2].[Recovery Score]" caption="Recovery Score" attribute="1" defaultMemberUniqueName="[Table2].[Recovery Score].[All]" allUniqueName="[Table2].[Recovery Score].[All]" dimensionUniqueName="[Table2]" displayFolder="" count="0" memberValueDatatype="2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Patient ID]" caption="Count of Patient ID" measure="1" displayFolder="" measureGroup="Table2"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Age]" caption="Sum of Age" measure="1" displayFolder="" measureGroup="Table2" count="0" hidden="1">
      <extLst>
        <ext xmlns:x15="http://schemas.microsoft.com/office/spreadsheetml/2010/11/main" uri="{B97F6D7D-B522-45F9-BDA1-12C45D357490}">
          <x15:cacheHierarchy aggregatedColumn="5"/>
        </ext>
      </extLst>
    </cacheHierarchy>
    <cacheHierarchy uniqueName="[Measures].[Average of Age]" caption="Average of Age" measure="1" displayFolder="" measureGroup="Table2" count="0" hidden="1">
      <extLst>
        <ext xmlns:x15="http://schemas.microsoft.com/office/spreadsheetml/2010/11/main" uri="{B97F6D7D-B522-45F9-BDA1-12C45D357490}">
          <x15:cacheHierarchy aggregatedColumn="5"/>
        </ext>
      </extLst>
    </cacheHierarchy>
    <cacheHierarchy uniqueName="[Measures].[Sum of Treatment Cost]" caption="Sum of Treatment Cost" measure="1" displayFolder="" measureGroup="Table2" count="0" hidden="1">
      <extLst>
        <ext xmlns:x15="http://schemas.microsoft.com/office/spreadsheetml/2010/11/main" uri="{B97F6D7D-B522-45F9-BDA1-12C45D357490}">
          <x15:cacheHierarchy aggregatedColumn="7"/>
        </ext>
      </extLst>
    </cacheHierarchy>
    <cacheHierarchy uniqueName="[Measures].[Average of Treatment Cost]" caption="Average of Treatment Cost" measure="1" displayFolder="" measureGroup="Table2" count="0" hidden="1">
      <extLst>
        <ext xmlns:x15="http://schemas.microsoft.com/office/spreadsheetml/2010/11/main" uri="{B97F6D7D-B522-45F9-BDA1-12C45D357490}">
          <x15:cacheHierarchy aggregatedColumn="7"/>
        </ext>
      </extLst>
    </cacheHierarchy>
    <cacheHierarchy uniqueName="[Measures].[Sum of Hospital Stay (Days)]" caption="Sum of Hospital Stay (Days)" measure="1" displayFolder="" measureGroup="Table2" count="0" hidden="1">
      <extLst>
        <ext xmlns:x15="http://schemas.microsoft.com/office/spreadsheetml/2010/11/main" uri="{B97F6D7D-B522-45F9-BDA1-12C45D357490}">
          <x15:cacheHierarchy aggregatedColumn="8"/>
        </ext>
      </extLst>
    </cacheHierarchy>
    <cacheHierarchy uniqueName="[Measures].[Sum of Recovery Score]" caption="Sum of Recovery Score" measure="1" displayFolder="" measureGroup="Table2" count="0" hidden="1">
      <extLst>
        <ext xmlns:x15="http://schemas.microsoft.com/office/spreadsheetml/2010/11/main" uri="{B97F6D7D-B522-45F9-BDA1-12C45D357490}">
          <x15:cacheHierarchy aggregatedColumn="9"/>
        </ext>
      </extLst>
    </cacheHierarchy>
    <cacheHierarchy uniqueName="[Measures].[Average of Recovery Score]" caption="Average of Recovery Score" measure="1" displayFolder="" measureGroup="Table2" count="0" hidden="1">
      <extLst>
        <ext xmlns:x15="http://schemas.microsoft.com/office/spreadsheetml/2010/11/main" uri="{B97F6D7D-B522-45F9-BDA1-12C45D357490}">
          <x15:cacheHierarchy aggregatedColumn="9"/>
        </ext>
      </extLst>
    </cacheHierarchy>
    <cacheHierarchy uniqueName="[Measures].[Average of Hospital Stay (Days)]" caption="Average of Hospital Stay (Days)" measure="1" displayFolder="" measureGroup="Table2" count="0" hidden="1">
      <extLst>
        <ext xmlns:x15="http://schemas.microsoft.com/office/spreadsheetml/2010/11/main" uri="{B97F6D7D-B522-45F9-BDA1-12C45D357490}">
          <x15:cacheHierarchy aggregatedColumn="8"/>
        </ext>
      </extLst>
    </cacheHierarchy>
    <cacheHierarchy uniqueName="[Measures].[Count of Gender]" caption="Count of Gender" measure="1" displayFolder="" measureGroup="Table2" count="0" hidden="1">
      <extLst>
        <ext xmlns:x15="http://schemas.microsoft.com/office/spreadsheetml/2010/11/main" uri="{B97F6D7D-B522-45F9-BDA1-12C45D357490}">
          <x15:cacheHierarchy aggregatedColumn="4"/>
        </ext>
      </extLst>
    </cacheHierarchy>
    <cacheHierarchy uniqueName="[Measures].[Count of Treatment Cost]" caption="Count of Treatment Cost" measure="1" displayFolder="" measureGroup="Table2" count="0" hidden="1">
      <extLst>
        <ext xmlns:x15="http://schemas.microsoft.com/office/spreadsheetml/2010/11/main" uri="{B97F6D7D-B522-45F9-BDA1-12C45D357490}">
          <x15:cacheHierarchy aggregatedColumn="7"/>
        </ext>
      </extLst>
    </cacheHierarchy>
    <cacheHierarchy uniqueName="[Measures].[Min of Treatment Cost]" caption="Min of Treatment Cost" measure="1" displayFolder="" measureGroup="Table2" count="0" hidden="1">
      <extLst>
        <ext xmlns:x15="http://schemas.microsoft.com/office/spreadsheetml/2010/11/main" uri="{B97F6D7D-B522-45F9-BDA1-12C45D357490}">
          <x15:cacheHierarchy aggregatedColumn="7"/>
        </ext>
      </extLst>
    </cacheHierarchy>
    <cacheHierarchy uniqueName="[Measures].[Max of Treatment Cost]" caption="Max of Treatment Cost" measure="1" displayFolder="" measureGroup="Table2" count="0" hidden="1">
      <extLst>
        <ext xmlns:x15="http://schemas.microsoft.com/office/spreadsheetml/2010/11/main" uri="{B97F6D7D-B522-45F9-BDA1-12C45D357490}">
          <x15:cacheHierarchy aggregatedColumn="7"/>
        </ext>
      </extLst>
    </cacheHierarchy>
    <cacheHierarchy uniqueName="[Measures].[Min of Recovery Score]" caption="Min of Recovery Score" measure="1" displayFolder="" measureGroup="Table2" count="0" hidden="1">
      <extLst>
        <ext xmlns:x15="http://schemas.microsoft.com/office/spreadsheetml/2010/11/main" uri="{B97F6D7D-B522-45F9-BDA1-12C45D357490}">
          <x15:cacheHierarchy aggregatedColumn="9"/>
        </ext>
      </extLst>
    </cacheHierarchy>
    <cacheHierarchy uniqueName="[Measures].[Max of Recovery Score]" caption="Max of Recovery Score" measure="1" displayFolder="" measureGroup="Table2" count="0" hidden="1">
      <extLst>
        <ext xmlns:x15="http://schemas.microsoft.com/office/spreadsheetml/2010/11/main" uri="{B97F6D7D-B522-45F9-BDA1-12C45D357490}">
          <x15:cacheHierarchy aggregatedColumn="9"/>
        </ext>
      </extLst>
    </cacheHierarchy>
    <cacheHierarchy uniqueName="[Measures].[StdDev of Recovery Score]" caption="StdDev of Recovery Score" measure="1" displayFolder="" measureGroup="Table2" count="0" hidden="1">
      <extLst>
        <ext xmlns:x15="http://schemas.microsoft.com/office/spreadsheetml/2010/11/main" uri="{B97F6D7D-B522-45F9-BDA1-12C45D357490}">
          <x15:cacheHierarchy aggregatedColumn="9"/>
        </ext>
      </extLst>
    </cacheHierarchy>
    <cacheHierarchy uniqueName="[Measures].[Count of Recovery Score]" caption="Count of Recovery Score" measure="1" displayFolder="" measureGroup="Table2" count="0" hidden="1">
      <extLst>
        <ext xmlns:x15="http://schemas.microsoft.com/office/spreadsheetml/2010/11/main" uri="{B97F6D7D-B522-45F9-BDA1-12C45D357490}">
          <x15:cacheHierarchy aggregatedColumn="9"/>
        </ext>
      </extLst>
    </cacheHierarchy>
    <cacheHierarchy uniqueName="[Measures].[Min of Hospital Stay (Days)]" caption="Min of Hospital Stay (Days)" measure="1" displayFolder="" measureGroup="Table2" count="0" hidden="1">
      <extLst>
        <ext xmlns:x15="http://schemas.microsoft.com/office/spreadsheetml/2010/11/main" uri="{B97F6D7D-B522-45F9-BDA1-12C45D357490}">
          <x15:cacheHierarchy aggregatedColumn="8"/>
        </ext>
      </extLst>
    </cacheHierarchy>
    <cacheHierarchy uniqueName="[Measures].[Distinct Count of Hospital Stay (Days)]" caption="Distinct Count of Hospital Stay (Days)" measure="1" displayFolder="" measureGroup="Table2" count="0" hidden="1">
      <extLst>
        <ext xmlns:x15="http://schemas.microsoft.com/office/spreadsheetml/2010/11/main" uri="{B97F6D7D-B522-45F9-BDA1-12C45D357490}">
          <x15:cacheHierarchy aggregatedColumn="8"/>
        </ext>
      </extLst>
    </cacheHierarchy>
    <cacheHierarchy uniqueName="[Measures].[Count of Department]" caption="Count of Department" measure="1" displayFolder="" measureGroup="Table2" count="0" hidden="1">
      <extLst>
        <ext xmlns:x15="http://schemas.microsoft.com/office/spreadsheetml/2010/11/main" uri="{B97F6D7D-B522-45F9-BDA1-12C45D357490}">
          <x15:cacheHierarchy aggregatedColumn="1"/>
        </ext>
      </extLst>
    </cacheHierarchy>
    <cacheHierarchy uniqueName="[Measures].[Count of Treatment Type]" caption="Count of Treatment Type" measure="1" displayFolder="" measureGroup="Table2" count="0" hidden="1">
      <extLst>
        <ext xmlns:x15="http://schemas.microsoft.com/office/spreadsheetml/2010/11/main" uri="{B97F6D7D-B522-45F9-BDA1-12C45D357490}">
          <x15:cacheHierarchy aggregatedColumn="2"/>
        </ext>
      </extLst>
    </cacheHierarchy>
    <cacheHierarchy uniqueName="[Measures].[Max of Hospital Stay (Days)]" caption="Max of Hospital Stay (Days)" measure="1" displayFolder="" measureGroup="Table2"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kshanya M" refreshedDate="45964.904388194445" backgroundQuery="1" createdVersion="8" refreshedVersion="8" minRefreshableVersion="3" recordCount="0" supportSubquery="1" supportAdvancedDrill="1" xr:uid="{7BA61FCB-BA44-4EA3-B30F-41FF0BA67846}">
  <cacheSource type="external" connectionId="1"/>
  <cacheFields count="2">
    <cacheField name="[Measures].[Count of Patient ID]" caption="Count of Patient ID" numFmtId="0" hierarchy="12" level="32767"/>
    <cacheField name="[Table2].[Doctor Name].[Doctor Name]" caption="Doctor Name" numFmtId="0" hierarchy="3" level="1">
      <sharedItems count="5">
        <s v="Dr. A. Sharma"/>
        <s v="Dr. L. Khan"/>
        <s v="Dr. M. Patel"/>
        <s v="Dr. R. Singh"/>
        <s v="Dr. T. Mehta"/>
      </sharedItems>
    </cacheField>
  </cacheFields>
  <cacheHierarchies count="34">
    <cacheHierarchy uniqueName="[Table2].[Patient ID]" caption="Patient ID" attribute="1" defaultMemberUniqueName="[Table2].[Patient ID].[All]" allUniqueName="[Table2].[Patient ID].[All]" dimensionUniqueName="[Table2]" displayFolder="" count="0" memberValueDatatype="130" unbalanced="0"/>
    <cacheHierarchy uniqueName="[Table2].[Department]" caption="Department" attribute="1" defaultMemberUniqueName="[Table2].[Department].[All]" allUniqueName="[Table2].[Department].[All]" dimensionUniqueName="[Table2]" displayFolder="" count="2" memberValueDatatype="130" unbalanced="0"/>
    <cacheHierarchy uniqueName="[Table2].[Treatment Type]" caption="Treatment Type" attribute="1" defaultMemberUniqueName="[Table2].[Treatment Type].[All]" allUniqueName="[Table2].[Treatment Type].[All]" dimensionUniqueName="[Table2]" displayFolder="" count="2" memberValueDatatype="130" unbalanced="0"/>
    <cacheHierarchy uniqueName="[Table2].[Doctor Name]" caption="Doctor Name" attribute="1" defaultMemberUniqueName="[Table2].[Doctor Name].[All]" allUniqueName="[Table2].[Doctor Name].[All]" dimensionUniqueName="[Table2]" displayFolder="" count="2" memberValueDatatype="130" unbalanced="0">
      <fieldsUsage count="2">
        <fieldUsage x="-1"/>
        <fieldUsage x="1"/>
      </fieldsUsage>
    </cacheHierarchy>
    <cacheHierarchy uniqueName="[Table2].[Gender]" caption="Gender" attribute="1" defaultMemberUniqueName="[Table2].[Gender].[All]" allUniqueName="[Table2].[Gender].[All]" dimensionUniqueName="[Table2]" displayFolder="" count="2" memberValueDatatype="130" unbalanced="0"/>
    <cacheHierarchy uniqueName="[Table2].[Age]" caption="Age" attribute="1" defaultMemberUniqueName="[Table2].[Age].[All]" allUniqueName="[Table2].[Age].[All]" dimensionUniqueName="[Table2]" displayFolder="" count="0" memberValueDatatype="20" unbalanced="0"/>
    <cacheHierarchy uniqueName="[Table2].[Age Group]" caption="Age Group" attribute="1" defaultMemberUniqueName="[Table2].[Age Group].[All]" allUniqueName="[Table2].[Age Group].[All]" dimensionUniqueName="[Table2]" displayFolder="" count="0" memberValueDatatype="130" unbalanced="0"/>
    <cacheHierarchy uniqueName="[Table2].[Treatment Cost]" caption="Treatment Cost" attribute="1" defaultMemberUniqueName="[Table2].[Treatment Cost].[All]" allUniqueName="[Table2].[Treatment Cost].[All]" dimensionUniqueName="[Table2]" displayFolder="" count="0" memberValueDatatype="5" unbalanced="0"/>
    <cacheHierarchy uniqueName="[Table2].[Hospital Stay (Days)]" caption="Hospital Stay (Days)" attribute="1" defaultMemberUniqueName="[Table2].[Hospital Stay (Days)].[All]" allUniqueName="[Table2].[Hospital Stay (Days)].[All]" dimensionUniqueName="[Table2]" displayFolder="" count="0" memberValueDatatype="20" unbalanced="0"/>
    <cacheHierarchy uniqueName="[Table2].[Recovery Score]" caption="Recovery Score" attribute="1" defaultMemberUniqueName="[Table2].[Recovery Score].[All]" allUniqueName="[Table2].[Recovery Score].[All]" dimensionUniqueName="[Table2]" displayFolder="" count="0" memberValueDatatype="2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Patient ID]" caption="Count of Patient ID" measure="1" displayFolder="" measureGroup="Table2"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Age]" caption="Sum of Age" measure="1" displayFolder="" measureGroup="Table2" count="0" hidden="1">
      <extLst>
        <ext xmlns:x15="http://schemas.microsoft.com/office/spreadsheetml/2010/11/main" uri="{B97F6D7D-B522-45F9-BDA1-12C45D357490}">
          <x15:cacheHierarchy aggregatedColumn="5"/>
        </ext>
      </extLst>
    </cacheHierarchy>
    <cacheHierarchy uniqueName="[Measures].[Average of Age]" caption="Average of Age" measure="1" displayFolder="" measureGroup="Table2" count="0" hidden="1">
      <extLst>
        <ext xmlns:x15="http://schemas.microsoft.com/office/spreadsheetml/2010/11/main" uri="{B97F6D7D-B522-45F9-BDA1-12C45D357490}">
          <x15:cacheHierarchy aggregatedColumn="5"/>
        </ext>
      </extLst>
    </cacheHierarchy>
    <cacheHierarchy uniqueName="[Measures].[Sum of Treatment Cost]" caption="Sum of Treatment Cost" measure="1" displayFolder="" measureGroup="Table2" count="0" hidden="1">
      <extLst>
        <ext xmlns:x15="http://schemas.microsoft.com/office/spreadsheetml/2010/11/main" uri="{B97F6D7D-B522-45F9-BDA1-12C45D357490}">
          <x15:cacheHierarchy aggregatedColumn="7"/>
        </ext>
      </extLst>
    </cacheHierarchy>
    <cacheHierarchy uniqueName="[Measures].[Average of Treatment Cost]" caption="Average of Treatment Cost" measure="1" displayFolder="" measureGroup="Table2" count="0" hidden="1">
      <extLst>
        <ext xmlns:x15="http://schemas.microsoft.com/office/spreadsheetml/2010/11/main" uri="{B97F6D7D-B522-45F9-BDA1-12C45D357490}">
          <x15:cacheHierarchy aggregatedColumn="7"/>
        </ext>
      </extLst>
    </cacheHierarchy>
    <cacheHierarchy uniqueName="[Measures].[Sum of Hospital Stay (Days)]" caption="Sum of Hospital Stay (Days)" measure="1" displayFolder="" measureGroup="Table2" count="0" hidden="1">
      <extLst>
        <ext xmlns:x15="http://schemas.microsoft.com/office/spreadsheetml/2010/11/main" uri="{B97F6D7D-B522-45F9-BDA1-12C45D357490}">
          <x15:cacheHierarchy aggregatedColumn="8"/>
        </ext>
      </extLst>
    </cacheHierarchy>
    <cacheHierarchy uniqueName="[Measures].[Sum of Recovery Score]" caption="Sum of Recovery Score" measure="1" displayFolder="" measureGroup="Table2" count="0" hidden="1">
      <extLst>
        <ext xmlns:x15="http://schemas.microsoft.com/office/spreadsheetml/2010/11/main" uri="{B97F6D7D-B522-45F9-BDA1-12C45D357490}">
          <x15:cacheHierarchy aggregatedColumn="9"/>
        </ext>
      </extLst>
    </cacheHierarchy>
    <cacheHierarchy uniqueName="[Measures].[Average of Recovery Score]" caption="Average of Recovery Score" measure="1" displayFolder="" measureGroup="Table2" count="0" hidden="1">
      <extLst>
        <ext xmlns:x15="http://schemas.microsoft.com/office/spreadsheetml/2010/11/main" uri="{B97F6D7D-B522-45F9-BDA1-12C45D357490}">
          <x15:cacheHierarchy aggregatedColumn="9"/>
        </ext>
      </extLst>
    </cacheHierarchy>
    <cacheHierarchy uniqueName="[Measures].[Average of Hospital Stay (Days)]" caption="Average of Hospital Stay (Days)" measure="1" displayFolder="" measureGroup="Table2" count="0" hidden="1">
      <extLst>
        <ext xmlns:x15="http://schemas.microsoft.com/office/spreadsheetml/2010/11/main" uri="{B97F6D7D-B522-45F9-BDA1-12C45D357490}">
          <x15:cacheHierarchy aggregatedColumn="8"/>
        </ext>
      </extLst>
    </cacheHierarchy>
    <cacheHierarchy uniqueName="[Measures].[Count of Gender]" caption="Count of Gender" measure="1" displayFolder="" measureGroup="Table2" count="0" hidden="1">
      <extLst>
        <ext xmlns:x15="http://schemas.microsoft.com/office/spreadsheetml/2010/11/main" uri="{B97F6D7D-B522-45F9-BDA1-12C45D357490}">
          <x15:cacheHierarchy aggregatedColumn="4"/>
        </ext>
      </extLst>
    </cacheHierarchy>
    <cacheHierarchy uniqueName="[Measures].[Count of Treatment Cost]" caption="Count of Treatment Cost" measure="1" displayFolder="" measureGroup="Table2" count="0" hidden="1">
      <extLst>
        <ext xmlns:x15="http://schemas.microsoft.com/office/spreadsheetml/2010/11/main" uri="{B97F6D7D-B522-45F9-BDA1-12C45D357490}">
          <x15:cacheHierarchy aggregatedColumn="7"/>
        </ext>
      </extLst>
    </cacheHierarchy>
    <cacheHierarchy uniqueName="[Measures].[Min of Treatment Cost]" caption="Min of Treatment Cost" measure="1" displayFolder="" measureGroup="Table2" count="0" hidden="1">
      <extLst>
        <ext xmlns:x15="http://schemas.microsoft.com/office/spreadsheetml/2010/11/main" uri="{B97F6D7D-B522-45F9-BDA1-12C45D357490}">
          <x15:cacheHierarchy aggregatedColumn="7"/>
        </ext>
      </extLst>
    </cacheHierarchy>
    <cacheHierarchy uniqueName="[Measures].[Max of Treatment Cost]" caption="Max of Treatment Cost" measure="1" displayFolder="" measureGroup="Table2" count="0" hidden="1">
      <extLst>
        <ext xmlns:x15="http://schemas.microsoft.com/office/spreadsheetml/2010/11/main" uri="{B97F6D7D-B522-45F9-BDA1-12C45D357490}">
          <x15:cacheHierarchy aggregatedColumn="7"/>
        </ext>
      </extLst>
    </cacheHierarchy>
    <cacheHierarchy uniqueName="[Measures].[Min of Recovery Score]" caption="Min of Recovery Score" measure="1" displayFolder="" measureGroup="Table2" count="0" hidden="1">
      <extLst>
        <ext xmlns:x15="http://schemas.microsoft.com/office/spreadsheetml/2010/11/main" uri="{B97F6D7D-B522-45F9-BDA1-12C45D357490}">
          <x15:cacheHierarchy aggregatedColumn="9"/>
        </ext>
      </extLst>
    </cacheHierarchy>
    <cacheHierarchy uniqueName="[Measures].[Max of Recovery Score]" caption="Max of Recovery Score" measure="1" displayFolder="" measureGroup="Table2" count="0" hidden="1">
      <extLst>
        <ext xmlns:x15="http://schemas.microsoft.com/office/spreadsheetml/2010/11/main" uri="{B97F6D7D-B522-45F9-BDA1-12C45D357490}">
          <x15:cacheHierarchy aggregatedColumn="9"/>
        </ext>
      </extLst>
    </cacheHierarchy>
    <cacheHierarchy uniqueName="[Measures].[StdDev of Recovery Score]" caption="StdDev of Recovery Score" measure="1" displayFolder="" measureGroup="Table2" count="0" hidden="1">
      <extLst>
        <ext xmlns:x15="http://schemas.microsoft.com/office/spreadsheetml/2010/11/main" uri="{B97F6D7D-B522-45F9-BDA1-12C45D357490}">
          <x15:cacheHierarchy aggregatedColumn="9"/>
        </ext>
      </extLst>
    </cacheHierarchy>
    <cacheHierarchy uniqueName="[Measures].[Count of Recovery Score]" caption="Count of Recovery Score" measure="1" displayFolder="" measureGroup="Table2" count="0" hidden="1">
      <extLst>
        <ext xmlns:x15="http://schemas.microsoft.com/office/spreadsheetml/2010/11/main" uri="{B97F6D7D-B522-45F9-BDA1-12C45D357490}">
          <x15:cacheHierarchy aggregatedColumn="9"/>
        </ext>
      </extLst>
    </cacheHierarchy>
    <cacheHierarchy uniqueName="[Measures].[Min of Hospital Stay (Days)]" caption="Min of Hospital Stay (Days)" measure="1" displayFolder="" measureGroup="Table2" count="0" hidden="1">
      <extLst>
        <ext xmlns:x15="http://schemas.microsoft.com/office/spreadsheetml/2010/11/main" uri="{B97F6D7D-B522-45F9-BDA1-12C45D357490}">
          <x15:cacheHierarchy aggregatedColumn="8"/>
        </ext>
      </extLst>
    </cacheHierarchy>
    <cacheHierarchy uniqueName="[Measures].[Distinct Count of Hospital Stay (Days)]" caption="Distinct Count of Hospital Stay (Days)" measure="1" displayFolder="" measureGroup="Table2" count="0" hidden="1">
      <extLst>
        <ext xmlns:x15="http://schemas.microsoft.com/office/spreadsheetml/2010/11/main" uri="{B97F6D7D-B522-45F9-BDA1-12C45D357490}">
          <x15:cacheHierarchy aggregatedColumn="8"/>
        </ext>
      </extLst>
    </cacheHierarchy>
    <cacheHierarchy uniqueName="[Measures].[Count of Department]" caption="Count of Department" measure="1" displayFolder="" measureGroup="Table2" count="0" hidden="1">
      <extLst>
        <ext xmlns:x15="http://schemas.microsoft.com/office/spreadsheetml/2010/11/main" uri="{B97F6D7D-B522-45F9-BDA1-12C45D357490}">
          <x15:cacheHierarchy aggregatedColumn="1"/>
        </ext>
      </extLst>
    </cacheHierarchy>
    <cacheHierarchy uniqueName="[Measures].[Count of Treatment Type]" caption="Count of Treatment Type" measure="1" displayFolder="" measureGroup="Table2" count="0" hidden="1">
      <extLst>
        <ext xmlns:x15="http://schemas.microsoft.com/office/spreadsheetml/2010/11/main" uri="{B97F6D7D-B522-45F9-BDA1-12C45D357490}">
          <x15:cacheHierarchy aggregatedColumn="2"/>
        </ext>
      </extLst>
    </cacheHierarchy>
    <cacheHierarchy uniqueName="[Measures].[Max of Hospital Stay (Days)]" caption="Max of Hospital Stay (Days)" measure="1" displayFolder="" measureGroup="Table2"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kshanya M" refreshedDate="45964.904388541669" backgroundQuery="1" createdVersion="8" refreshedVersion="8" minRefreshableVersion="3" recordCount="0" supportSubquery="1" supportAdvancedDrill="1" xr:uid="{D612D8BC-CF0C-4DD0-A4A0-76A031D2E1E0}">
  <cacheSource type="external" connectionId="1"/>
  <cacheFields count="3">
    <cacheField name="[Measures].[Count of Patient ID]" caption="Count of Patient ID" numFmtId="0" hierarchy="12" level="32767"/>
    <cacheField name="[Table2].[Department].[Department]" caption="Department" numFmtId="0" hierarchy="1" level="1">
      <sharedItems count="6">
        <s v="Cardiology"/>
        <s v="Gastroenterology"/>
        <s v="Neurology"/>
        <s v="Oncology"/>
        <s v="Orthopedics"/>
        <s v="Pediatrics"/>
      </sharedItems>
    </cacheField>
    <cacheField name="[Table2].[Doctor Name].[Doctor Name]" caption="Doctor Name" numFmtId="0" hierarchy="3" level="1">
      <sharedItems containsSemiMixedTypes="0" containsNonDate="0" containsString="0"/>
    </cacheField>
  </cacheFields>
  <cacheHierarchies count="34">
    <cacheHierarchy uniqueName="[Table2].[Patient ID]" caption="Patient ID" attribute="1" defaultMemberUniqueName="[Table2].[Patient ID].[All]" allUniqueName="[Table2].[Patient ID].[All]" dimensionUniqueName="[Table2]" displayFolder="" count="0" memberValueDatatype="130" unbalanced="0"/>
    <cacheHierarchy uniqueName="[Table2].[Department]" caption="Department" attribute="1" defaultMemberUniqueName="[Table2].[Department].[All]" allUniqueName="[Table2].[Department].[All]" dimensionUniqueName="[Table2]" displayFolder="" count="2" memberValueDatatype="130" unbalanced="0">
      <fieldsUsage count="2">
        <fieldUsage x="-1"/>
        <fieldUsage x="1"/>
      </fieldsUsage>
    </cacheHierarchy>
    <cacheHierarchy uniqueName="[Table2].[Treatment Type]" caption="Treatment Type" attribute="1" defaultMemberUniqueName="[Table2].[Treatment Type].[All]" allUniqueName="[Table2].[Treatment Type].[All]" dimensionUniqueName="[Table2]" displayFolder="" count="2" memberValueDatatype="130" unbalanced="0"/>
    <cacheHierarchy uniqueName="[Table2].[Doctor Name]" caption="Doctor Name" attribute="1" defaultMemberUniqueName="[Table2].[Doctor Name].[All]" allUniqueName="[Table2].[Doctor Name].[All]" dimensionUniqueName="[Table2]" displayFolder="" count="2" memberValueDatatype="130" unbalanced="0">
      <fieldsUsage count="2">
        <fieldUsage x="-1"/>
        <fieldUsage x="2"/>
      </fieldsUsage>
    </cacheHierarchy>
    <cacheHierarchy uniqueName="[Table2].[Gender]" caption="Gender" attribute="1" defaultMemberUniqueName="[Table2].[Gender].[All]" allUniqueName="[Table2].[Gender].[All]" dimensionUniqueName="[Table2]" displayFolder="" count="2" memberValueDatatype="130" unbalanced="0"/>
    <cacheHierarchy uniqueName="[Table2].[Age]" caption="Age" attribute="1" defaultMemberUniqueName="[Table2].[Age].[All]" allUniqueName="[Table2].[Age].[All]" dimensionUniqueName="[Table2]" displayFolder="" count="0" memberValueDatatype="20" unbalanced="0"/>
    <cacheHierarchy uniqueName="[Table2].[Age Group]" caption="Age Group" attribute="1" defaultMemberUniqueName="[Table2].[Age Group].[All]" allUniqueName="[Table2].[Age Group].[All]" dimensionUniqueName="[Table2]" displayFolder="" count="0" memberValueDatatype="130" unbalanced="0"/>
    <cacheHierarchy uniqueName="[Table2].[Treatment Cost]" caption="Treatment Cost" attribute="1" defaultMemberUniqueName="[Table2].[Treatment Cost].[All]" allUniqueName="[Table2].[Treatment Cost].[All]" dimensionUniqueName="[Table2]" displayFolder="" count="0" memberValueDatatype="5" unbalanced="0"/>
    <cacheHierarchy uniqueName="[Table2].[Hospital Stay (Days)]" caption="Hospital Stay (Days)" attribute="1" defaultMemberUniqueName="[Table2].[Hospital Stay (Days)].[All]" allUniqueName="[Table2].[Hospital Stay (Days)].[All]" dimensionUniqueName="[Table2]" displayFolder="" count="0" memberValueDatatype="20" unbalanced="0"/>
    <cacheHierarchy uniqueName="[Table2].[Recovery Score]" caption="Recovery Score" attribute="1" defaultMemberUniqueName="[Table2].[Recovery Score].[All]" allUniqueName="[Table2].[Recovery Score].[All]" dimensionUniqueName="[Table2]" displayFolder="" count="0" memberValueDatatype="2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Patient ID]" caption="Count of Patient ID" measure="1" displayFolder="" measureGroup="Table2"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Age]" caption="Sum of Age" measure="1" displayFolder="" measureGroup="Table2" count="0" hidden="1">
      <extLst>
        <ext xmlns:x15="http://schemas.microsoft.com/office/spreadsheetml/2010/11/main" uri="{B97F6D7D-B522-45F9-BDA1-12C45D357490}">
          <x15:cacheHierarchy aggregatedColumn="5"/>
        </ext>
      </extLst>
    </cacheHierarchy>
    <cacheHierarchy uniqueName="[Measures].[Average of Age]" caption="Average of Age" measure="1" displayFolder="" measureGroup="Table2" count="0" hidden="1">
      <extLst>
        <ext xmlns:x15="http://schemas.microsoft.com/office/spreadsheetml/2010/11/main" uri="{B97F6D7D-B522-45F9-BDA1-12C45D357490}">
          <x15:cacheHierarchy aggregatedColumn="5"/>
        </ext>
      </extLst>
    </cacheHierarchy>
    <cacheHierarchy uniqueName="[Measures].[Sum of Treatment Cost]" caption="Sum of Treatment Cost" measure="1" displayFolder="" measureGroup="Table2" count="0" hidden="1">
      <extLst>
        <ext xmlns:x15="http://schemas.microsoft.com/office/spreadsheetml/2010/11/main" uri="{B97F6D7D-B522-45F9-BDA1-12C45D357490}">
          <x15:cacheHierarchy aggregatedColumn="7"/>
        </ext>
      </extLst>
    </cacheHierarchy>
    <cacheHierarchy uniqueName="[Measures].[Average of Treatment Cost]" caption="Average of Treatment Cost" measure="1" displayFolder="" measureGroup="Table2" count="0" hidden="1">
      <extLst>
        <ext xmlns:x15="http://schemas.microsoft.com/office/spreadsheetml/2010/11/main" uri="{B97F6D7D-B522-45F9-BDA1-12C45D357490}">
          <x15:cacheHierarchy aggregatedColumn="7"/>
        </ext>
      </extLst>
    </cacheHierarchy>
    <cacheHierarchy uniqueName="[Measures].[Sum of Hospital Stay (Days)]" caption="Sum of Hospital Stay (Days)" measure="1" displayFolder="" measureGroup="Table2" count="0" hidden="1">
      <extLst>
        <ext xmlns:x15="http://schemas.microsoft.com/office/spreadsheetml/2010/11/main" uri="{B97F6D7D-B522-45F9-BDA1-12C45D357490}">
          <x15:cacheHierarchy aggregatedColumn="8"/>
        </ext>
      </extLst>
    </cacheHierarchy>
    <cacheHierarchy uniqueName="[Measures].[Sum of Recovery Score]" caption="Sum of Recovery Score" measure="1" displayFolder="" measureGroup="Table2" count="0" hidden="1">
      <extLst>
        <ext xmlns:x15="http://schemas.microsoft.com/office/spreadsheetml/2010/11/main" uri="{B97F6D7D-B522-45F9-BDA1-12C45D357490}">
          <x15:cacheHierarchy aggregatedColumn="9"/>
        </ext>
      </extLst>
    </cacheHierarchy>
    <cacheHierarchy uniqueName="[Measures].[Average of Recovery Score]" caption="Average of Recovery Score" measure="1" displayFolder="" measureGroup="Table2" count="0" hidden="1">
      <extLst>
        <ext xmlns:x15="http://schemas.microsoft.com/office/spreadsheetml/2010/11/main" uri="{B97F6D7D-B522-45F9-BDA1-12C45D357490}">
          <x15:cacheHierarchy aggregatedColumn="9"/>
        </ext>
      </extLst>
    </cacheHierarchy>
    <cacheHierarchy uniqueName="[Measures].[Average of Hospital Stay (Days)]" caption="Average of Hospital Stay (Days)" measure="1" displayFolder="" measureGroup="Table2" count="0" hidden="1">
      <extLst>
        <ext xmlns:x15="http://schemas.microsoft.com/office/spreadsheetml/2010/11/main" uri="{B97F6D7D-B522-45F9-BDA1-12C45D357490}">
          <x15:cacheHierarchy aggregatedColumn="8"/>
        </ext>
      </extLst>
    </cacheHierarchy>
    <cacheHierarchy uniqueName="[Measures].[Count of Gender]" caption="Count of Gender" measure="1" displayFolder="" measureGroup="Table2" count="0" hidden="1">
      <extLst>
        <ext xmlns:x15="http://schemas.microsoft.com/office/spreadsheetml/2010/11/main" uri="{B97F6D7D-B522-45F9-BDA1-12C45D357490}">
          <x15:cacheHierarchy aggregatedColumn="4"/>
        </ext>
      </extLst>
    </cacheHierarchy>
    <cacheHierarchy uniqueName="[Measures].[Count of Treatment Cost]" caption="Count of Treatment Cost" measure="1" displayFolder="" measureGroup="Table2" count="0" hidden="1">
      <extLst>
        <ext xmlns:x15="http://schemas.microsoft.com/office/spreadsheetml/2010/11/main" uri="{B97F6D7D-B522-45F9-BDA1-12C45D357490}">
          <x15:cacheHierarchy aggregatedColumn="7"/>
        </ext>
      </extLst>
    </cacheHierarchy>
    <cacheHierarchy uniqueName="[Measures].[Min of Treatment Cost]" caption="Min of Treatment Cost" measure="1" displayFolder="" measureGroup="Table2" count="0" hidden="1">
      <extLst>
        <ext xmlns:x15="http://schemas.microsoft.com/office/spreadsheetml/2010/11/main" uri="{B97F6D7D-B522-45F9-BDA1-12C45D357490}">
          <x15:cacheHierarchy aggregatedColumn="7"/>
        </ext>
      </extLst>
    </cacheHierarchy>
    <cacheHierarchy uniqueName="[Measures].[Max of Treatment Cost]" caption="Max of Treatment Cost" measure="1" displayFolder="" measureGroup="Table2" count="0" hidden="1">
      <extLst>
        <ext xmlns:x15="http://schemas.microsoft.com/office/spreadsheetml/2010/11/main" uri="{B97F6D7D-B522-45F9-BDA1-12C45D357490}">
          <x15:cacheHierarchy aggregatedColumn="7"/>
        </ext>
      </extLst>
    </cacheHierarchy>
    <cacheHierarchy uniqueName="[Measures].[Min of Recovery Score]" caption="Min of Recovery Score" measure="1" displayFolder="" measureGroup="Table2" count="0" hidden="1">
      <extLst>
        <ext xmlns:x15="http://schemas.microsoft.com/office/spreadsheetml/2010/11/main" uri="{B97F6D7D-B522-45F9-BDA1-12C45D357490}">
          <x15:cacheHierarchy aggregatedColumn="9"/>
        </ext>
      </extLst>
    </cacheHierarchy>
    <cacheHierarchy uniqueName="[Measures].[Max of Recovery Score]" caption="Max of Recovery Score" measure="1" displayFolder="" measureGroup="Table2" count="0" hidden="1">
      <extLst>
        <ext xmlns:x15="http://schemas.microsoft.com/office/spreadsheetml/2010/11/main" uri="{B97F6D7D-B522-45F9-BDA1-12C45D357490}">
          <x15:cacheHierarchy aggregatedColumn="9"/>
        </ext>
      </extLst>
    </cacheHierarchy>
    <cacheHierarchy uniqueName="[Measures].[StdDev of Recovery Score]" caption="StdDev of Recovery Score" measure="1" displayFolder="" measureGroup="Table2" count="0" hidden="1">
      <extLst>
        <ext xmlns:x15="http://schemas.microsoft.com/office/spreadsheetml/2010/11/main" uri="{B97F6D7D-B522-45F9-BDA1-12C45D357490}">
          <x15:cacheHierarchy aggregatedColumn="9"/>
        </ext>
      </extLst>
    </cacheHierarchy>
    <cacheHierarchy uniqueName="[Measures].[Count of Recovery Score]" caption="Count of Recovery Score" measure="1" displayFolder="" measureGroup="Table2" count="0" hidden="1">
      <extLst>
        <ext xmlns:x15="http://schemas.microsoft.com/office/spreadsheetml/2010/11/main" uri="{B97F6D7D-B522-45F9-BDA1-12C45D357490}">
          <x15:cacheHierarchy aggregatedColumn="9"/>
        </ext>
      </extLst>
    </cacheHierarchy>
    <cacheHierarchy uniqueName="[Measures].[Min of Hospital Stay (Days)]" caption="Min of Hospital Stay (Days)" measure="1" displayFolder="" measureGroup="Table2" count="0" hidden="1">
      <extLst>
        <ext xmlns:x15="http://schemas.microsoft.com/office/spreadsheetml/2010/11/main" uri="{B97F6D7D-B522-45F9-BDA1-12C45D357490}">
          <x15:cacheHierarchy aggregatedColumn="8"/>
        </ext>
      </extLst>
    </cacheHierarchy>
    <cacheHierarchy uniqueName="[Measures].[Distinct Count of Hospital Stay (Days)]" caption="Distinct Count of Hospital Stay (Days)" measure="1" displayFolder="" measureGroup="Table2" count="0" hidden="1">
      <extLst>
        <ext xmlns:x15="http://schemas.microsoft.com/office/spreadsheetml/2010/11/main" uri="{B97F6D7D-B522-45F9-BDA1-12C45D357490}">
          <x15:cacheHierarchy aggregatedColumn="8"/>
        </ext>
      </extLst>
    </cacheHierarchy>
    <cacheHierarchy uniqueName="[Measures].[Count of Department]" caption="Count of Department" measure="1" displayFolder="" measureGroup="Table2" count="0" hidden="1">
      <extLst>
        <ext xmlns:x15="http://schemas.microsoft.com/office/spreadsheetml/2010/11/main" uri="{B97F6D7D-B522-45F9-BDA1-12C45D357490}">
          <x15:cacheHierarchy aggregatedColumn="1"/>
        </ext>
      </extLst>
    </cacheHierarchy>
    <cacheHierarchy uniqueName="[Measures].[Count of Treatment Type]" caption="Count of Treatment Type" measure="1" displayFolder="" measureGroup="Table2" count="0" hidden="1">
      <extLst>
        <ext xmlns:x15="http://schemas.microsoft.com/office/spreadsheetml/2010/11/main" uri="{B97F6D7D-B522-45F9-BDA1-12C45D357490}">
          <x15:cacheHierarchy aggregatedColumn="2"/>
        </ext>
      </extLst>
    </cacheHierarchy>
    <cacheHierarchy uniqueName="[Measures].[Max of Hospital Stay (Days)]" caption="Max of Hospital Stay (Days)" measure="1" displayFolder="" measureGroup="Table2"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kshanya M" refreshedDate="45964.904388888892" backgroundQuery="1" createdVersion="8" refreshedVersion="8" minRefreshableVersion="3" recordCount="0" supportSubquery="1" supportAdvancedDrill="1" xr:uid="{60C07643-8570-479E-B9B0-A97628D9429C}">
  <cacheSource type="external" connectionId="1"/>
  <cacheFields count="3">
    <cacheField name="[Table2].[Age Group].[Age Group]" caption="Age Group" numFmtId="0" hierarchy="6" level="1">
      <sharedItems count="6">
        <s v="Adult"/>
        <s v="Child"/>
        <s v="Middle-aged Adult"/>
        <s v="Senior Citizen/Elderly"/>
        <s v="Teenager/Adolescent"/>
        <s v="Young Adult"/>
      </sharedItems>
    </cacheField>
    <cacheField name="[Measures].[Average of Recovery Score]" caption="Average of Recovery Score" numFmtId="0" hierarchy="19" level="32767"/>
    <cacheField name="[Table2].[Doctor Name].[Doctor Name]" caption="Doctor Name" numFmtId="0" hierarchy="3" level="1">
      <sharedItems containsSemiMixedTypes="0" containsNonDate="0" containsString="0"/>
    </cacheField>
  </cacheFields>
  <cacheHierarchies count="34">
    <cacheHierarchy uniqueName="[Table2].[Patient ID]" caption="Patient ID" attribute="1" defaultMemberUniqueName="[Table2].[Patient ID].[All]" allUniqueName="[Table2].[Patient ID].[All]" dimensionUniqueName="[Table2]" displayFolder="" count="0" memberValueDatatype="130" unbalanced="0"/>
    <cacheHierarchy uniqueName="[Table2].[Department]" caption="Department" attribute="1" defaultMemberUniqueName="[Table2].[Department].[All]" allUniqueName="[Table2].[Department].[All]" dimensionUniqueName="[Table2]" displayFolder="" count="2" memberValueDatatype="130" unbalanced="0"/>
    <cacheHierarchy uniqueName="[Table2].[Treatment Type]" caption="Treatment Type" attribute="1" defaultMemberUniqueName="[Table2].[Treatment Type].[All]" allUniqueName="[Table2].[Treatment Type].[All]" dimensionUniqueName="[Table2]" displayFolder="" count="2" memberValueDatatype="130" unbalanced="0"/>
    <cacheHierarchy uniqueName="[Table2].[Doctor Name]" caption="Doctor Name" attribute="1" defaultMemberUniqueName="[Table2].[Doctor Name].[All]" allUniqueName="[Table2].[Doctor Name].[All]" dimensionUniqueName="[Table2]" displayFolder="" count="2" memberValueDatatype="130" unbalanced="0">
      <fieldsUsage count="2">
        <fieldUsage x="-1"/>
        <fieldUsage x="2"/>
      </fieldsUsage>
    </cacheHierarchy>
    <cacheHierarchy uniqueName="[Table2].[Gender]" caption="Gender" attribute="1" defaultMemberUniqueName="[Table2].[Gender].[All]" allUniqueName="[Table2].[Gender].[All]" dimensionUniqueName="[Table2]" displayFolder="" count="2" memberValueDatatype="130" unbalanced="0"/>
    <cacheHierarchy uniqueName="[Table2].[Age]" caption="Age" attribute="1" defaultMemberUniqueName="[Table2].[Age].[All]" allUniqueName="[Table2].[Age].[All]" dimensionUniqueName="[Table2]" displayFolder="" count="0" memberValueDatatype="20" unbalanced="0"/>
    <cacheHierarchy uniqueName="[Table2].[Age Group]" caption="Age Group" attribute="1" defaultMemberUniqueName="[Table2].[Age Group].[All]" allUniqueName="[Table2].[Age Group].[All]" dimensionUniqueName="[Table2]" displayFolder="" count="2" memberValueDatatype="130" unbalanced="0">
      <fieldsUsage count="2">
        <fieldUsage x="-1"/>
        <fieldUsage x="0"/>
      </fieldsUsage>
    </cacheHierarchy>
    <cacheHierarchy uniqueName="[Table2].[Treatment Cost]" caption="Treatment Cost" attribute="1" defaultMemberUniqueName="[Table2].[Treatment Cost].[All]" allUniqueName="[Table2].[Treatment Cost].[All]" dimensionUniqueName="[Table2]" displayFolder="" count="0" memberValueDatatype="5" unbalanced="0"/>
    <cacheHierarchy uniqueName="[Table2].[Hospital Stay (Days)]" caption="Hospital Stay (Days)" attribute="1" defaultMemberUniqueName="[Table2].[Hospital Stay (Days)].[All]" allUniqueName="[Table2].[Hospital Stay (Days)].[All]" dimensionUniqueName="[Table2]" displayFolder="" count="0" memberValueDatatype="20" unbalanced="0"/>
    <cacheHierarchy uniqueName="[Table2].[Recovery Score]" caption="Recovery Score" attribute="1" defaultMemberUniqueName="[Table2].[Recovery Score].[All]" allUniqueName="[Table2].[Recovery Score].[All]" dimensionUniqueName="[Table2]" displayFolder="" count="0" memberValueDatatype="2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Patient ID]" caption="Count of Patient ID" measure="1" displayFolder="" measureGroup="Table2"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Table2" count="0" hidden="1">
      <extLst>
        <ext xmlns:x15="http://schemas.microsoft.com/office/spreadsheetml/2010/11/main" uri="{B97F6D7D-B522-45F9-BDA1-12C45D357490}">
          <x15:cacheHierarchy aggregatedColumn="5"/>
        </ext>
      </extLst>
    </cacheHierarchy>
    <cacheHierarchy uniqueName="[Measures].[Average of Age]" caption="Average of Age" measure="1" displayFolder="" measureGroup="Table2" count="0" hidden="1">
      <extLst>
        <ext xmlns:x15="http://schemas.microsoft.com/office/spreadsheetml/2010/11/main" uri="{B97F6D7D-B522-45F9-BDA1-12C45D357490}">
          <x15:cacheHierarchy aggregatedColumn="5"/>
        </ext>
      </extLst>
    </cacheHierarchy>
    <cacheHierarchy uniqueName="[Measures].[Sum of Treatment Cost]" caption="Sum of Treatment Cost" measure="1" displayFolder="" measureGroup="Table2" count="0" hidden="1">
      <extLst>
        <ext xmlns:x15="http://schemas.microsoft.com/office/spreadsheetml/2010/11/main" uri="{B97F6D7D-B522-45F9-BDA1-12C45D357490}">
          <x15:cacheHierarchy aggregatedColumn="7"/>
        </ext>
      </extLst>
    </cacheHierarchy>
    <cacheHierarchy uniqueName="[Measures].[Average of Treatment Cost]" caption="Average of Treatment Cost" measure="1" displayFolder="" measureGroup="Table2" count="0" hidden="1">
      <extLst>
        <ext xmlns:x15="http://schemas.microsoft.com/office/spreadsheetml/2010/11/main" uri="{B97F6D7D-B522-45F9-BDA1-12C45D357490}">
          <x15:cacheHierarchy aggregatedColumn="7"/>
        </ext>
      </extLst>
    </cacheHierarchy>
    <cacheHierarchy uniqueName="[Measures].[Sum of Hospital Stay (Days)]" caption="Sum of Hospital Stay (Days)" measure="1" displayFolder="" measureGroup="Table2" count="0" hidden="1">
      <extLst>
        <ext xmlns:x15="http://schemas.microsoft.com/office/spreadsheetml/2010/11/main" uri="{B97F6D7D-B522-45F9-BDA1-12C45D357490}">
          <x15:cacheHierarchy aggregatedColumn="8"/>
        </ext>
      </extLst>
    </cacheHierarchy>
    <cacheHierarchy uniqueName="[Measures].[Sum of Recovery Score]" caption="Sum of Recovery Score" measure="1" displayFolder="" measureGroup="Table2" count="0" hidden="1">
      <extLst>
        <ext xmlns:x15="http://schemas.microsoft.com/office/spreadsheetml/2010/11/main" uri="{B97F6D7D-B522-45F9-BDA1-12C45D357490}">
          <x15:cacheHierarchy aggregatedColumn="9"/>
        </ext>
      </extLst>
    </cacheHierarchy>
    <cacheHierarchy uniqueName="[Measures].[Average of Recovery Score]" caption="Average of Recovery Score" measure="1" displayFolder="" measureGroup="Table2" count="0" oneField="1" hidden="1">
      <fieldsUsage count="1">
        <fieldUsage x="1"/>
      </fieldsUsage>
      <extLst>
        <ext xmlns:x15="http://schemas.microsoft.com/office/spreadsheetml/2010/11/main" uri="{B97F6D7D-B522-45F9-BDA1-12C45D357490}">
          <x15:cacheHierarchy aggregatedColumn="9"/>
        </ext>
      </extLst>
    </cacheHierarchy>
    <cacheHierarchy uniqueName="[Measures].[Average of Hospital Stay (Days)]" caption="Average of Hospital Stay (Days)" measure="1" displayFolder="" measureGroup="Table2" count="0" hidden="1">
      <extLst>
        <ext xmlns:x15="http://schemas.microsoft.com/office/spreadsheetml/2010/11/main" uri="{B97F6D7D-B522-45F9-BDA1-12C45D357490}">
          <x15:cacheHierarchy aggregatedColumn="8"/>
        </ext>
      </extLst>
    </cacheHierarchy>
    <cacheHierarchy uniqueName="[Measures].[Count of Gender]" caption="Count of Gender" measure="1" displayFolder="" measureGroup="Table2" count="0" hidden="1">
      <extLst>
        <ext xmlns:x15="http://schemas.microsoft.com/office/spreadsheetml/2010/11/main" uri="{B97F6D7D-B522-45F9-BDA1-12C45D357490}">
          <x15:cacheHierarchy aggregatedColumn="4"/>
        </ext>
      </extLst>
    </cacheHierarchy>
    <cacheHierarchy uniqueName="[Measures].[Count of Treatment Cost]" caption="Count of Treatment Cost" measure="1" displayFolder="" measureGroup="Table2" count="0" hidden="1">
      <extLst>
        <ext xmlns:x15="http://schemas.microsoft.com/office/spreadsheetml/2010/11/main" uri="{B97F6D7D-B522-45F9-BDA1-12C45D357490}">
          <x15:cacheHierarchy aggregatedColumn="7"/>
        </ext>
      </extLst>
    </cacheHierarchy>
    <cacheHierarchy uniqueName="[Measures].[Min of Treatment Cost]" caption="Min of Treatment Cost" measure="1" displayFolder="" measureGroup="Table2" count="0" hidden="1">
      <extLst>
        <ext xmlns:x15="http://schemas.microsoft.com/office/spreadsheetml/2010/11/main" uri="{B97F6D7D-B522-45F9-BDA1-12C45D357490}">
          <x15:cacheHierarchy aggregatedColumn="7"/>
        </ext>
      </extLst>
    </cacheHierarchy>
    <cacheHierarchy uniqueName="[Measures].[Max of Treatment Cost]" caption="Max of Treatment Cost" measure="1" displayFolder="" measureGroup="Table2" count="0" hidden="1">
      <extLst>
        <ext xmlns:x15="http://schemas.microsoft.com/office/spreadsheetml/2010/11/main" uri="{B97F6D7D-B522-45F9-BDA1-12C45D357490}">
          <x15:cacheHierarchy aggregatedColumn="7"/>
        </ext>
      </extLst>
    </cacheHierarchy>
    <cacheHierarchy uniqueName="[Measures].[Min of Recovery Score]" caption="Min of Recovery Score" measure="1" displayFolder="" measureGroup="Table2" count="0" hidden="1">
      <extLst>
        <ext xmlns:x15="http://schemas.microsoft.com/office/spreadsheetml/2010/11/main" uri="{B97F6D7D-B522-45F9-BDA1-12C45D357490}">
          <x15:cacheHierarchy aggregatedColumn="9"/>
        </ext>
      </extLst>
    </cacheHierarchy>
    <cacheHierarchy uniqueName="[Measures].[Max of Recovery Score]" caption="Max of Recovery Score" measure="1" displayFolder="" measureGroup="Table2" count="0" hidden="1">
      <extLst>
        <ext xmlns:x15="http://schemas.microsoft.com/office/spreadsheetml/2010/11/main" uri="{B97F6D7D-B522-45F9-BDA1-12C45D357490}">
          <x15:cacheHierarchy aggregatedColumn="9"/>
        </ext>
      </extLst>
    </cacheHierarchy>
    <cacheHierarchy uniqueName="[Measures].[StdDev of Recovery Score]" caption="StdDev of Recovery Score" measure="1" displayFolder="" measureGroup="Table2" count="0" hidden="1">
      <extLst>
        <ext xmlns:x15="http://schemas.microsoft.com/office/spreadsheetml/2010/11/main" uri="{B97F6D7D-B522-45F9-BDA1-12C45D357490}">
          <x15:cacheHierarchy aggregatedColumn="9"/>
        </ext>
      </extLst>
    </cacheHierarchy>
    <cacheHierarchy uniqueName="[Measures].[Count of Recovery Score]" caption="Count of Recovery Score" measure="1" displayFolder="" measureGroup="Table2" count="0" hidden="1">
      <extLst>
        <ext xmlns:x15="http://schemas.microsoft.com/office/spreadsheetml/2010/11/main" uri="{B97F6D7D-B522-45F9-BDA1-12C45D357490}">
          <x15:cacheHierarchy aggregatedColumn="9"/>
        </ext>
      </extLst>
    </cacheHierarchy>
    <cacheHierarchy uniqueName="[Measures].[Min of Hospital Stay (Days)]" caption="Min of Hospital Stay (Days)" measure="1" displayFolder="" measureGroup="Table2" count="0" hidden="1">
      <extLst>
        <ext xmlns:x15="http://schemas.microsoft.com/office/spreadsheetml/2010/11/main" uri="{B97F6D7D-B522-45F9-BDA1-12C45D357490}">
          <x15:cacheHierarchy aggregatedColumn="8"/>
        </ext>
      </extLst>
    </cacheHierarchy>
    <cacheHierarchy uniqueName="[Measures].[Distinct Count of Hospital Stay (Days)]" caption="Distinct Count of Hospital Stay (Days)" measure="1" displayFolder="" measureGroup="Table2" count="0" hidden="1">
      <extLst>
        <ext xmlns:x15="http://schemas.microsoft.com/office/spreadsheetml/2010/11/main" uri="{B97F6D7D-B522-45F9-BDA1-12C45D357490}">
          <x15:cacheHierarchy aggregatedColumn="8"/>
        </ext>
      </extLst>
    </cacheHierarchy>
    <cacheHierarchy uniqueName="[Measures].[Count of Department]" caption="Count of Department" measure="1" displayFolder="" measureGroup="Table2" count="0" hidden="1">
      <extLst>
        <ext xmlns:x15="http://schemas.microsoft.com/office/spreadsheetml/2010/11/main" uri="{B97F6D7D-B522-45F9-BDA1-12C45D357490}">
          <x15:cacheHierarchy aggregatedColumn="1"/>
        </ext>
      </extLst>
    </cacheHierarchy>
    <cacheHierarchy uniqueName="[Measures].[Count of Treatment Type]" caption="Count of Treatment Type" measure="1" displayFolder="" measureGroup="Table2" count="0" hidden="1">
      <extLst>
        <ext xmlns:x15="http://schemas.microsoft.com/office/spreadsheetml/2010/11/main" uri="{B97F6D7D-B522-45F9-BDA1-12C45D357490}">
          <x15:cacheHierarchy aggregatedColumn="2"/>
        </ext>
      </extLst>
    </cacheHierarchy>
    <cacheHierarchy uniqueName="[Measures].[Max of Hospital Stay (Days)]" caption="Max of Hospital Stay (Days)" measure="1" displayFolder="" measureGroup="Table2"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kshanya M" refreshedDate="45964.904389351854" backgroundQuery="1" createdVersion="8" refreshedVersion="8" minRefreshableVersion="3" recordCount="0" supportSubquery="1" supportAdvancedDrill="1" xr:uid="{109EC080-A92A-4C88-A182-4E42A2486ECA}">
  <cacheSource type="external" connectionId="1"/>
  <cacheFields count="3">
    <cacheField name="[Table2].[Age Group].[Age Group]" caption="Age Group" numFmtId="0" hierarchy="6" level="1">
      <sharedItems count="6">
        <s v="Adult"/>
        <s v="Child"/>
        <s v="Middle-aged Adult"/>
        <s v="Senior Citizen/Elderly"/>
        <s v="Teenager/Adolescent"/>
        <s v="Young Adult"/>
      </sharedItems>
    </cacheField>
    <cacheField name="[Measures].[Count of Patient ID]" caption="Count of Patient ID" numFmtId="0" hierarchy="12" level="32767"/>
    <cacheField name="[Table2].[Doctor Name].[Doctor Name]" caption="Doctor Name" numFmtId="0" hierarchy="3" level="1">
      <sharedItems containsSemiMixedTypes="0" containsNonDate="0" containsString="0"/>
    </cacheField>
  </cacheFields>
  <cacheHierarchies count="34">
    <cacheHierarchy uniqueName="[Table2].[Patient ID]" caption="Patient ID" attribute="1" defaultMemberUniqueName="[Table2].[Patient ID].[All]" allUniqueName="[Table2].[Patient ID].[All]" dimensionUniqueName="[Table2]" displayFolder="" count="2" memberValueDatatype="130" unbalanced="0"/>
    <cacheHierarchy uniqueName="[Table2].[Department]" caption="Department" attribute="1" defaultMemberUniqueName="[Table2].[Department].[All]" allUniqueName="[Table2].[Department].[All]" dimensionUniqueName="[Table2]" displayFolder="" count="2" memberValueDatatype="130" unbalanced="0"/>
    <cacheHierarchy uniqueName="[Table2].[Treatment Type]" caption="Treatment Type" attribute="1" defaultMemberUniqueName="[Table2].[Treatment Type].[All]" allUniqueName="[Table2].[Treatment Type].[All]" dimensionUniqueName="[Table2]" displayFolder="" count="2" memberValueDatatype="130" unbalanced="0"/>
    <cacheHierarchy uniqueName="[Table2].[Doctor Name]" caption="Doctor Name" attribute="1" defaultMemberUniqueName="[Table2].[Doctor Name].[All]" allUniqueName="[Table2].[Doctor Name].[All]" dimensionUniqueName="[Table2]" displayFolder="" count="2" memberValueDatatype="130" unbalanced="0">
      <fieldsUsage count="2">
        <fieldUsage x="-1"/>
        <fieldUsage x="2"/>
      </fieldsUsage>
    </cacheHierarchy>
    <cacheHierarchy uniqueName="[Table2].[Gender]" caption="Gender" attribute="1" defaultMemberUniqueName="[Table2].[Gender].[All]" allUniqueName="[Table2].[Gender].[All]" dimensionUniqueName="[Table2]" displayFolder="" count="2" memberValueDatatype="130" unbalanced="0"/>
    <cacheHierarchy uniqueName="[Table2].[Age]" caption="Age" attribute="1" defaultMemberUniqueName="[Table2].[Age].[All]" allUniqueName="[Table2].[Age].[All]" dimensionUniqueName="[Table2]" displayFolder="" count="2" memberValueDatatype="20" unbalanced="0"/>
    <cacheHierarchy uniqueName="[Table2].[Age Group]" caption="Age Group" attribute="1" defaultMemberUniqueName="[Table2].[Age Group].[All]" allUniqueName="[Table2].[Age Group].[All]" dimensionUniqueName="[Table2]" displayFolder="" count="2" memberValueDatatype="130" unbalanced="0">
      <fieldsUsage count="2">
        <fieldUsage x="-1"/>
        <fieldUsage x="0"/>
      </fieldsUsage>
    </cacheHierarchy>
    <cacheHierarchy uniqueName="[Table2].[Treatment Cost]" caption="Treatment Cost" attribute="1" defaultMemberUniqueName="[Table2].[Treatment Cost].[All]" allUniqueName="[Table2].[Treatment Cost].[All]" dimensionUniqueName="[Table2]" displayFolder="" count="2" memberValueDatatype="5" unbalanced="0"/>
    <cacheHierarchy uniqueName="[Table2].[Hospital Stay (Days)]" caption="Hospital Stay (Days)" attribute="1" defaultMemberUniqueName="[Table2].[Hospital Stay (Days)].[All]" allUniqueName="[Table2].[Hospital Stay (Days)].[All]" dimensionUniqueName="[Table2]" displayFolder="" count="2" memberValueDatatype="20" unbalanced="0"/>
    <cacheHierarchy uniqueName="[Table2].[Recovery Score]" caption="Recovery Score" attribute="1" defaultMemberUniqueName="[Table2].[Recovery Score].[All]" allUniqueName="[Table2].[Recovery Score].[All]" dimensionUniqueName="[Table2]" displayFolder="" count="2" memberValueDatatype="2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Patient ID]" caption="Count of Patient ID" measure="1" displayFolder="" measureGroup="Table2"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Age]" caption="Sum of Age" measure="1" displayFolder="" measureGroup="Table2" count="0" hidden="1">
      <extLst>
        <ext xmlns:x15="http://schemas.microsoft.com/office/spreadsheetml/2010/11/main" uri="{B97F6D7D-B522-45F9-BDA1-12C45D357490}">
          <x15:cacheHierarchy aggregatedColumn="5"/>
        </ext>
      </extLst>
    </cacheHierarchy>
    <cacheHierarchy uniqueName="[Measures].[Average of Age]" caption="Average of Age" measure="1" displayFolder="" measureGroup="Table2" count="0" hidden="1">
      <extLst>
        <ext xmlns:x15="http://schemas.microsoft.com/office/spreadsheetml/2010/11/main" uri="{B97F6D7D-B522-45F9-BDA1-12C45D357490}">
          <x15:cacheHierarchy aggregatedColumn="5"/>
        </ext>
      </extLst>
    </cacheHierarchy>
    <cacheHierarchy uniqueName="[Measures].[Sum of Treatment Cost]" caption="Sum of Treatment Cost" measure="1" displayFolder="" measureGroup="Table2" count="0" hidden="1">
      <extLst>
        <ext xmlns:x15="http://schemas.microsoft.com/office/spreadsheetml/2010/11/main" uri="{B97F6D7D-B522-45F9-BDA1-12C45D357490}">
          <x15:cacheHierarchy aggregatedColumn="7"/>
        </ext>
      </extLst>
    </cacheHierarchy>
    <cacheHierarchy uniqueName="[Measures].[Average of Treatment Cost]" caption="Average of Treatment Cost" measure="1" displayFolder="" measureGroup="Table2" count="0" hidden="1">
      <extLst>
        <ext xmlns:x15="http://schemas.microsoft.com/office/spreadsheetml/2010/11/main" uri="{B97F6D7D-B522-45F9-BDA1-12C45D357490}">
          <x15:cacheHierarchy aggregatedColumn="7"/>
        </ext>
      </extLst>
    </cacheHierarchy>
    <cacheHierarchy uniqueName="[Measures].[Sum of Hospital Stay (Days)]" caption="Sum of Hospital Stay (Days)" measure="1" displayFolder="" measureGroup="Table2" count="0" hidden="1">
      <extLst>
        <ext xmlns:x15="http://schemas.microsoft.com/office/spreadsheetml/2010/11/main" uri="{B97F6D7D-B522-45F9-BDA1-12C45D357490}">
          <x15:cacheHierarchy aggregatedColumn="8"/>
        </ext>
      </extLst>
    </cacheHierarchy>
    <cacheHierarchy uniqueName="[Measures].[Sum of Recovery Score]" caption="Sum of Recovery Score" measure="1" displayFolder="" measureGroup="Table2" count="0" hidden="1">
      <extLst>
        <ext xmlns:x15="http://schemas.microsoft.com/office/spreadsheetml/2010/11/main" uri="{B97F6D7D-B522-45F9-BDA1-12C45D357490}">
          <x15:cacheHierarchy aggregatedColumn="9"/>
        </ext>
      </extLst>
    </cacheHierarchy>
    <cacheHierarchy uniqueName="[Measures].[Average of Recovery Score]" caption="Average of Recovery Score" measure="1" displayFolder="" measureGroup="Table2" count="0" hidden="1">
      <extLst>
        <ext xmlns:x15="http://schemas.microsoft.com/office/spreadsheetml/2010/11/main" uri="{B97F6D7D-B522-45F9-BDA1-12C45D357490}">
          <x15:cacheHierarchy aggregatedColumn="9"/>
        </ext>
      </extLst>
    </cacheHierarchy>
    <cacheHierarchy uniqueName="[Measures].[Average of Hospital Stay (Days)]" caption="Average of Hospital Stay (Days)" measure="1" displayFolder="" measureGroup="Table2" count="0" hidden="1">
      <extLst>
        <ext xmlns:x15="http://schemas.microsoft.com/office/spreadsheetml/2010/11/main" uri="{B97F6D7D-B522-45F9-BDA1-12C45D357490}">
          <x15:cacheHierarchy aggregatedColumn="8"/>
        </ext>
      </extLst>
    </cacheHierarchy>
    <cacheHierarchy uniqueName="[Measures].[Count of Gender]" caption="Count of Gender" measure="1" displayFolder="" measureGroup="Table2" count="0" hidden="1">
      <extLst>
        <ext xmlns:x15="http://schemas.microsoft.com/office/spreadsheetml/2010/11/main" uri="{B97F6D7D-B522-45F9-BDA1-12C45D357490}">
          <x15:cacheHierarchy aggregatedColumn="4"/>
        </ext>
      </extLst>
    </cacheHierarchy>
    <cacheHierarchy uniqueName="[Measures].[Count of Treatment Cost]" caption="Count of Treatment Cost" measure="1" displayFolder="" measureGroup="Table2" count="0" hidden="1">
      <extLst>
        <ext xmlns:x15="http://schemas.microsoft.com/office/spreadsheetml/2010/11/main" uri="{B97F6D7D-B522-45F9-BDA1-12C45D357490}">
          <x15:cacheHierarchy aggregatedColumn="7"/>
        </ext>
      </extLst>
    </cacheHierarchy>
    <cacheHierarchy uniqueName="[Measures].[Min of Treatment Cost]" caption="Min of Treatment Cost" measure="1" displayFolder="" measureGroup="Table2" count="0" hidden="1">
      <extLst>
        <ext xmlns:x15="http://schemas.microsoft.com/office/spreadsheetml/2010/11/main" uri="{B97F6D7D-B522-45F9-BDA1-12C45D357490}">
          <x15:cacheHierarchy aggregatedColumn="7"/>
        </ext>
      </extLst>
    </cacheHierarchy>
    <cacheHierarchy uniqueName="[Measures].[Max of Treatment Cost]" caption="Max of Treatment Cost" measure="1" displayFolder="" measureGroup="Table2" count="0" hidden="1">
      <extLst>
        <ext xmlns:x15="http://schemas.microsoft.com/office/spreadsheetml/2010/11/main" uri="{B97F6D7D-B522-45F9-BDA1-12C45D357490}">
          <x15:cacheHierarchy aggregatedColumn="7"/>
        </ext>
      </extLst>
    </cacheHierarchy>
    <cacheHierarchy uniqueName="[Measures].[Min of Recovery Score]" caption="Min of Recovery Score" measure="1" displayFolder="" measureGroup="Table2" count="0" hidden="1">
      <extLst>
        <ext xmlns:x15="http://schemas.microsoft.com/office/spreadsheetml/2010/11/main" uri="{B97F6D7D-B522-45F9-BDA1-12C45D357490}">
          <x15:cacheHierarchy aggregatedColumn="9"/>
        </ext>
      </extLst>
    </cacheHierarchy>
    <cacheHierarchy uniqueName="[Measures].[Max of Recovery Score]" caption="Max of Recovery Score" measure="1" displayFolder="" measureGroup="Table2" count="0" hidden="1">
      <extLst>
        <ext xmlns:x15="http://schemas.microsoft.com/office/spreadsheetml/2010/11/main" uri="{B97F6D7D-B522-45F9-BDA1-12C45D357490}">
          <x15:cacheHierarchy aggregatedColumn="9"/>
        </ext>
      </extLst>
    </cacheHierarchy>
    <cacheHierarchy uniqueName="[Measures].[StdDev of Recovery Score]" caption="StdDev of Recovery Score" measure="1" displayFolder="" measureGroup="Table2" count="0" hidden="1">
      <extLst>
        <ext xmlns:x15="http://schemas.microsoft.com/office/spreadsheetml/2010/11/main" uri="{B97F6D7D-B522-45F9-BDA1-12C45D357490}">
          <x15:cacheHierarchy aggregatedColumn="9"/>
        </ext>
      </extLst>
    </cacheHierarchy>
    <cacheHierarchy uniqueName="[Measures].[Count of Recovery Score]" caption="Count of Recovery Score" measure="1" displayFolder="" measureGroup="Table2" count="0" hidden="1">
      <extLst>
        <ext xmlns:x15="http://schemas.microsoft.com/office/spreadsheetml/2010/11/main" uri="{B97F6D7D-B522-45F9-BDA1-12C45D357490}">
          <x15:cacheHierarchy aggregatedColumn="9"/>
        </ext>
      </extLst>
    </cacheHierarchy>
    <cacheHierarchy uniqueName="[Measures].[Min of Hospital Stay (Days)]" caption="Min of Hospital Stay (Days)" measure="1" displayFolder="" measureGroup="Table2" count="0" hidden="1">
      <extLst>
        <ext xmlns:x15="http://schemas.microsoft.com/office/spreadsheetml/2010/11/main" uri="{B97F6D7D-B522-45F9-BDA1-12C45D357490}">
          <x15:cacheHierarchy aggregatedColumn="8"/>
        </ext>
      </extLst>
    </cacheHierarchy>
    <cacheHierarchy uniqueName="[Measures].[Distinct Count of Hospital Stay (Days)]" caption="Distinct Count of Hospital Stay (Days)" measure="1" displayFolder="" measureGroup="Table2" count="0" hidden="1">
      <extLst>
        <ext xmlns:x15="http://schemas.microsoft.com/office/spreadsheetml/2010/11/main" uri="{B97F6D7D-B522-45F9-BDA1-12C45D357490}">
          <x15:cacheHierarchy aggregatedColumn="8"/>
        </ext>
      </extLst>
    </cacheHierarchy>
    <cacheHierarchy uniqueName="[Measures].[Count of Department]" caption="Count of Department" measure="1" displayFolder="" measureGroup="Table2" count="0" hidden="1">
      <extLst>
        <ext xmlns:x15="http://schemas.microsoft.com/office/spreadsheetml/2010/11/main" uri="{B97F6D7D-B522-45F9-BDA1-12C45D357490}">
          <x15:cacheHierarchy aggregatedColumn="1"/>
        </ext>
      </extLst>
    </cacheHierarchy>
    <cacheHierarchy uniqueName="[Measures].[Count of Treatment Type]" caption="Count of Treatment Type" measure="1" displayFolder="" measureGroup="Table2" count="0" hidden="1">
      <extLst>
        <ext xmlns:x15="http://schemas.microsoft.com/office/spreadsheetml/2010/11/main" uri="{B97F6D7D-B522-45F9-BDA1-12C45D357490}">
          <x15:cacheHierarchy aggregatedColumn="2"/>
        </ext>
      </extLst>
    </cacheHierarchy>
    <cacheHierarchy uniqueName="[Measures].[Max of Hospital Stay (Days)]" caption="Max of Hospital Stay (Days)" measure="1" displayFolder="" measureGroup="Table2"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kshanya M" refreshedDate="45964.715649421298" backgroundQuery="1" createdVersion="3" refreshedVersion="8" minRefreshableVersion="3" recordCount="0" supportSubquery="1" supportAdvancedDrill="1" xr:uid="{ADAE8F8E-DA1C-472A-9845-887124AA0103}">
  <cacheSource type="external" connectionId="1">
    <extLst>
      <ext xmlns:x14="http://schemas.microsoft.com/office/spreadsheetml/2009/9/main" uri="{F057638F-6D5F-4e77-A914-E7F072B9BCA8}">
        <x14:sourceConnection name="ThisWorkbookDataModel"/>
      </ext>
    </extLst>
  </cacheSource>
  <cacheFields count="0"/>
  <cacheHierarchies count="34">
    <cacheHierarchy uniqueName="[Table2].[Patient ID]" caption="Patient ID" attribute="1" defaultMemberUniqueName="[Table2].[Patient ID].[All]" allUniqueName="[Table2].[Patient ID].[All]" dimensionUniqueName="[Table2]" displayFolder="" count="0" memberValueDatatype="130" unbalanced="0"/>
    <cacheHierarchy uniqueName="[Table2].[Department]" caption="Department" attribute="1" defaultMemberUniqueName="[Table2].[Department].[All]" allUniqueName="[Table2].[Department].[All]" dimensionUniqueName="[Table2]" displayFolder="" count="2" memberValueDatatype="130" unbalanced="0"/>
    <cacheHierarchy uniqueName="[Table2].[Treatment Type]" caption="Treatment Type" attribute="1" defaultMemberUniqueName="[Table2].[Treatment Type].[All]" allUniqueName="[Table2].[Treatment Type].[All]" dimensionUniqueName="[Table2]" displayFolder="" count="2" memberValueDatatype="130" unbalanced="0"/>
    <cacheHierarchy uniqueName="[Table2].[Doctor Name]" caption="Doctor Name" attribute="1" defaultMemberUniqueName="[Table2].[Doctor Name].[All]" allUniqueName="[Table2].[Doctor Name].[All]" dimensionUniqueName="[Table2]" displayFolder="" count="2" memberValueDatatype="130" unbalanced="0"/>
    <cacheHierarchy uniqueName="[Table2].[Gender]" caption="Gender" attribute="1" defaultMemberUniqueName="[Table2].[Gender].[All]" allUniqueName="[Table2].[Gender].[All]" dimensionUniqueName="[Table2]" displayFolder="" count="2" memberValueDatatype="130" unbalanced="0"/>
    <cacheHierarchy uniqueName="[Table2].[Age]" caption="Age" attribute="1" defaultMemberUniqueName="[Table2].[Age].[All]" allUniqueName="[Table2].[Age].[All]" dimensionUniqueName="[Table2]" displayFolder="" count="0" memberValueDatatype="20" unbalanced="0"/>
    <cacheHierarchy uniqueName="[Table2].[Age Group]" caption="Age Group" attribute="1" defaultMemberUniqueName="[Table2].[Age Group].[All]" allUniqueName="[Table2].[Age Group].[All]" dimensionUniqueName="[Table2]" displayFolder="" count="0" memberValueDatatype="130" unbalanced="0"/>
    <cacheHierarchy uniqueName="[Table2].[Treatment Cost]" caption="Treatment Cost" attribute="1" defaultMemberUniqueName="[Table2].[Treatment Cost].[All]" allUniqueName="[Table2].[Treatment Cost].[All]" dimensionUniqueName="[Table2]" displayFolder="" count="0" memberValueDatatype="5" unbalanced="0"/>
    <cacheHierarchy uniqueName="[Table2].[Hospital Stay (Days)]" caption="Hospital Stay (Days)" attribute="1" defaultMemberUniqueName="[Table2].[Hospital Stay (Days)].[All]" allUniqueName="[Table2].[Hospital Stay (Days)].[All]" dimensionUniqueName="[Table2]" displayFolder="" count="0" memberValueDatatype="20" unbalanced="0"/>
    <cacheHierarchy uniqueName="[Table2].[Recovery Score]" caption="Recovery Score" attribute="1" defaultMemberUniqueName="[Table2].[Recovery Score].[All]" allUniqueName="[Table2].[Recovery Score].[All]" dimensionUniqueName="[Table2]" displayFolder="" count="0" memberValueDatatype="2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Patient ID]" caption="Count of Patient ID" measure="1" displayFolder="" measureGroup="Table2"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Table2" count="0" hidden="1">
      <extLst>
        <ext xmlns:x15="http://schemas.microsoft.com/office/spreadsheetml/2010/11/main" uri="{B97F6D7D-B522-45F9-BDA1-12C45D357490}">
          <x15:cacheHierarchy aggregatedColumn="5"/>
        </ext>
      </extLst>
    </cacheHierarchy>
    <cacheHierarchy uniqueName="[Measures].[Average of Age]" caption="Average of Age" measure="1" displayFolder="" measureGroup="Table2" count="0" hidden="1">
      <extLst>
        <ext xmlns:x15="http://schemas.microsoft.com/office/spreadsheetml/2010/11/main" uri="{B97F6D7D-B522-45F9-BDA1-12C45D357490}">
          <x15:cacheHierarchy aggregatedColumn="5"/>
        </ext>
      </extLst>
    </cacheHierarchy>
    <cacheHierarchy uniqueName="[Measures].[Sum of Treatment Cost]" caption="Sum of Treatment Cost" measure="1" displayFolder="" measureGroup="Table2" count="0" hidden="1">
      <extLst>
        <ext xmlns:x15="http://schemas.microsoft.com/office/spreadsheetml/2010/11/main" uri="{B97F6D7D-B522-45F9-BDA1-12C45D357490}">
          <x15:cacheHierarchy aggregatedColumn="7"/>
        </ext>
      </extLst>
    </cacheHierarchy>
    <cacheHierarchy uniqueName="[Measures].[Average of Treatment Cost]" caption="Average of Treatment Cost" measure="1" displayFolder="" measureGroup="Table2" count="0" hidden="1">
      <extLst>
        <ext xmlns:x15="http://schemas.microsoft.com/office/spreadsheetml/2010/11/main" uri="{B97F6D7D-B522-45F9-BDA1-12C45D357490}">
          <x15:cacheHierarchy aggregatedColumn="7"/>
        </ext>
      </extLst>
    </cacheHierarchy>
    <cacheHierarchy uniqueName="[Measures].[Sum of Hospital Stay (Days)]" caption="Sum of Hospital Stay (Days)" measure="1" displayFolder="" measureGroup="Table2" count="0" hidden="1">
      <extLst>
        <ext xmlns:x15="http://schemas.microsoft.com/office/spreadsheetml/2010/11/main" uri="{B97F6D7D-B522-45F9-BDA1-12C45D357490}">
          <x15:cacheHierarchy aggregatedColumn="8"/>
        </ext>
      </extLst>
    </cacheHierarchy>
    <cacheHierarchy uniqueName="[Measures].[Sum of Recovery Score]" caption="Sum of Recovery Score" measure="1" displayFolder="" measureGroup="Table2" count="0" hidden="1">
      <extLst>
        <ext xmlns:x15="http://schemas.microsoft.com/office/spreadsheetml/2010/11/main" uri="{B97F6D7D-B522-45F9-BDA1-12C45D357490}">
          <x15:cacheHierarchy aggregatedColumn="9"/>
        </ext>
      </extLst>
    </cacheHierarchy>
    <cacheHierarchy uniqueName="[Measures].[Average of Recovery Score]" caption="Average of Recovery Score" measure="1" displayFolder="" measureGroup="Table2" count="0" hidden="1">
      <extLst>
        <ext xmlns:x15="http://schemas.microsoft.com/office/spreadsheetml/2010/11/main" uri="{B97F6D7D-B522-45F9-BDA1-12C45D357490}">
          <x15:cacheHierarchy aggregatedColumn="9"/>
        </ext>
      </extLst>
    </cacheHierarchy>
    <cacheHierarchy uniqueName="[Measures].[Average of Hospital Stay (Days)]" caption="Average of Hospital Stay (Days)" measure="1" displayFolder="" measureGroup="Table2" count="0" hidden="1">
      <extLst>
        <ext xmlns:x15="http://schemas.microsoft.com/office/spreadsheetml/2010/11/main" uri="{B97F6D7D-B522-45F9-BDA1-12C45D357490}">
          <x15:cacheHierarchy aggregatedColumn="8"/>
        </ext>
      </extLst>
    </cacheHierarchy>
    <cacheHierarchy uniqueName="[Measures].[Count of Gender]" caption="Count of Gender" measure="1" displayFolder="" measureGroup="Table2" count="0" hidden="1">
      <extLst>
        <ext xmlns:x15="http://schemas.microsoft.com/office/spreadsheetml/2010/11/main" uri="{B97F6D7D-B522-45F9-BDA1-12C45D357490}">
          <x15:cacheHierarchy aggregatedColumn="4"/>
        </ext>
      </extLst>
    </cacheHierarchy>
    <cacheHierarchy uniqueName="[Measures].[Count of Treatment Cost]" caption="Count of Treatment Cost" measure="1" displayFolder="" measureGroup="Table2" count="0" hidden="1">
      <extLst>
        <ext xmlns:x15="http://schemas.microsoft.com/office/spreadsheetml/2010/11/main" uri="{B97F6D7D-B522-45F9-BDA1-12C45D357490}">
          <x15:cacheHierarchy aggregatedColumn="7"/>
        </ext>
      </extLst>
    </cacheHierarchy>
    <cacheHierarchy uniqueName="[Measures].[Min of Treatment Cost]" caption="Min of Treatment Cost" measure="1" displayFolder="" measureGroup="Table2" count="0" hidden="1">
      <extLst>
        <ext xmlns:x15="http://schemas.microsoft.com/office/spreadsheetml/2010/11/main" uri="{B97F6D7D-B522-45F9-BDA1-12C45D357490}">
          <x15:cacheHierarchy aggregatedColumn="7"/>
        </ext>
      </extLst>
    </cacheHierarchy>
    <cacheHierarchy uniqueName="[Measures].[Max of Treatment Cost]" caption="Max of Treatment Cost" measure="1" displayFolder="" measureGroup="Table2" count="0" hidden="1">
      <extLst>
        <ext xmlns:x15="http://schemas.microsoft.com/office/spreadsheetml/2010/11/main" uri="{B97F6D7D-B522-45F9-BDA1-12C45D357490}">
          <x15:cacheHierarchy aggregatedColumn="7"/>
        </ext>
      </extLst>
    </cacheHierarchy>
    <cacheHierarchy uniqueName="[Measures].[Min of Recovery Score]" caption="Min of Recovery Score" measure="1" displayFolder="" measureGroup="Table2" count="0" hidden="1">
      <extLst>
        <ext xmlns:x15="http://schemas.microsoft.com/office/spreadsheetml/2010/11/main" uri="{B97F6D7D-B522-45F9-BDA1-12C45D357490}">
          <x15:cacheHierarchy aggregatedColumn="9"/>
        </ext>
      </extLst>
    </cacheHierarchy>
    <cacheHierarchy uniqueName="[Measures].[Max of Recovery Score]" caption="Max of Recovery Score" measure="1" displayFolder="" measureGroup="Table2" count="0" hidden="1">
      <extLst>
        <ext xmlns:x15="http://schemas.microsoft.com/office/spreadsheetml/2010/11/main" uri="{B97F6D7D-B522-45F9-BDA1-12C45D357490}">
          <x15:cacheHierarchy aggregatedColumn="9"/>
        </ext>
      </extLst>
    </cacheHierarchy>
    <cacheHierarchy uniqueName="[Measures].[StdDev of Recovery Score]" caption="StdDev of Recovery Score" measure="1" displayFolder="" measureGroup="Table2" count="0" hidden="1">
      <extLst>
        <ext xmlns:x15="http://schemas.microsoft.com/office/spreadsheetml/2010/11/main" uri="{B97F6D7D-B522-45F9-BDA1-12C45D357490}">
          <x15:cacheHierarchy aggregatedColumn="9"/>
        </ext>
      </extLst>
    </cacheHierarchy>
    <cacheHierarchy uniqueName="[Measures].[Count of Recovery Score]" caption="Count of Recovery Score" measure="1" displayFolder="" measureGroup="Table2" count="0" hidden="1">
      <extLst>
        <ext xmlns:x15="http://schemas.microsoft.com/office/spreadsheetml/2010/11/main" uri="{B97F6D7D-B522-45F9-BDA1-12C45D357490}">
          <x15:cacheHierarchy aggregatedColumn="9"/>
        </ext>
      </extLst>
    </cacheHierarchy>
    <cacheHierarchy uniqueName="[Measures].[Min of Hospital Stay (Days)]" caption="Min of Hospital Stay (Days)" measure="1" displayFolder="" measureGroup="Table2" count="0" hidden="1">
      <extLst>
        <ext xmlns:x15="http://schemas.microsoft.com/office/spreadsheetml/2010/11/main" uri="{B97F6D7D-B522-45F9-BDA1-12C45D357490}">
          <x15:cacheHierarchy aggregatedColumn="8"/>
        </ext>
      </extLst>
    </cacheHierarchy>
    <cacheHierarchy uniqueName="[Measures].[Distinct Count of Hospital Stay (Days)]" caption="Distinct Count of Hospital Stay (Days)" measure="1" displayFolder="" measureGroup="Table2" count="0" hidden="1">
      <extLst>
        <ext xmlns:x15="http://schemas.microsoft.com/office/spreadsheetml/2010/11/main" uri="{B97F6D7D-B522-45F9-BDA1-12C45D357490}">
          <x15:cacheHierarchy aggregatedColumn="8"/>
        </ext>
      </extLst>
    </cacheHierarchy>
    <cacheHierarchy uniqueName="[Measures].[Count of Department]" caption="Count of Department" measure="1" displayFolder="" measureGroup="Table2" count="0" hidden="1">
      <extLst>
        <ext xmlns:x15="http://schemas.microsoft.com/office/spreadsheetml/2010/11/main" uri="{B97F6D7D-B522-45F9-BDA1-12C45D357490}">
          <x15:cacheHierarchy aggregatedColumn="1"/>
        </ext>
      </extLst>
    </cacheHierarchy>
    <cacheHierarchy uniqueName="[Measures].[Count of Treatment Type]" caption="Count of Treatment Type" measure="1" displayFolder="" measureGroup="Table2" count="0" hidden="1">
      <extLst>
        <ext xmlns:x15="http://schemas.microsoft.com/office/spreadsheetml/2010/11/main" uri="{B97F6D7D-B522-45F9-BDA1-12C45D357490}">
          <x15:cacheHierarchy aggregatedColumn="2"/>
        </ext>
      </extLst>
    </cacheHierarchy>
    <cacheHierarchy uniqueName="[Measures].[Max of Hospital Stay (Days)]" caption="Max of Hospital Stay (Days)" measure="1" displayFolder="" measureGroup="Table2"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slicerData="1" pivotCacheId="653936299"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kshanya M" refreshedDate="45964.851952199075" backgroundQuery="1" createdVersion="3" refreshedVersion="8" minRefreshableVersion="3" recordCount="0" supportSubquery="1" supportAdvancedDrill="1" xr:uid="{81539AFC-C4DF-4ED8-8087-D3039A1BDE34}">
  <cacheSource type="external" connectionId="1">
    <extLst>
      <ext xmlns:x14="http://schemas.microsoft.com/office/spreadsheetml/2009/9/main" uri="{F057638F-6D5F-4e77-A914-E7F072B9BCA8}">
        <x14:sourceConnection name="ThisWorkbookDataModel"/>
      </ext>
    </extLst>
  </cacheSource>
  <cacheFields count="0"/>
  <cacheHierarchies count="34">
    <cacheHierarchy uniqueName="[Table2].[Patient ID]" caption="Patient ID" attribute="1" defaultMemberUniqueName="[Table2].[Patient ID].[All]" allUniqueName="[Table2].[Patient ID].[All]" dimensionUniqueName="[Table2]" displayFolder="" count="0" memberValueDatatype="130" unbalanced="0"/>
    <cacheHierarchy uniqueName="[Table2].[Department]" caption="Department" attribute="1" defaultMemberUniqueName="[Table2].[Department].[All]" allUniqueName="[Table2].[Department].[All]" dimensionUniqueName="[Table2]" displayFolder="" count="0" memberValueDatatype="130" unbalanced="0"/>
    <cacheHierarchy uniqueName="[Table2].[Treatment Type]" caption="Treatment Type" attribute="1" defaultMemberUniqueName="[Table2].[Treatment Type].[All]" allUniqueName="[Table2].[Treatment Type].[All]" dimensionUniqueName="[Table2]" displayFolder="" count="0" memberValueDatatype="130" unbalanced="0"/>
    <cacheHierarchy uniqueName="[Table2].[Doctor Name]" caption="Doctor Name" attribute="1" defaultMemberUniqueName="[Table2].[Doctor Name].[All]" allUniqueName="[Table2].[Doctor Name].[All]" dimensionUniqueName="[Table2]" displayFolder="" count="0" memberValueDatatype="130" unbalanced="0"/>
    <cacheHierarchy uniqueName="[Table2].[Gender]" caption="Gender" attribute="1" defaultMemberUniqueName="[Table2].[Gender].[All]" allUniqueName="[Table2].[Gender].[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Age Group]" caption="Age Group" attribute="1" defaultMemberUniqueName="[Table2].[Age Group].[All]" allUniqueName="[Table2].[Age Group].[All]" dimensionUniqueName="[Table2]" displayFolder="" count="2" memberValueDatatype="130" unbalanced="0"/>
    <cacheHierarchy uniqueName="[Table2].[Treatment Cost]" caption="Treatment Cost" attribute="1" defaultMemberUniqueName="[Table2].[Treatment Cost].[All]" allUniqueName="[Table2].[Treatment Cost].[All]" dimensionUniqueName="[Table2]" displayFolder="" count="0" memberValueDatatype="5" unbalanced="0"/>
    <cacheHierarchy uniqueName="[Table2].[Hospital Stay (Days)]" caption="Hospital Stay (Days)" attribute="1" defaultMemberUniqueName="[Table2].[Hospital Stay (Days)].[All]" allUniqueName="[Table2].[Hospital Stay (Days)].[All]" dimensionUniqueName="[Table2]" displayFolder="" count="0" memberValueDatatype="20" unbalanced="0"/>
    <cacheHierarchy uniqueName="[Table2].[Recovery Score]" caption="Recovery Score" attribute="1" defaultMemberUniqueName="[Table2].[Recovery Score].[All]" allUniqueName="[Table2].[Recovery Score].[All]" dimensionUniqueName="[Table2]" displayFolder="" count="0" memberValueDatatype="2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Patient ID]" caption="Count of Patient ID" measure="1" displayFolder="" measureGroup="Table2"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Table2" count="0" hidden="1">
      <extLst>
        <ext xmlns:x15="http://schemas.microsoft.com/office/spreadsheetml/2010/11/main" uri="{B97F6D7D-B522-45F9-BDA1-12C45D357490}">
          <x15:cacheHierarchy aggregatedColumn="5"/>
        </ext>
      </extLst>
    </cacheHierarchy>
    <cacheHierarchy uniqueName="[Measures].[Average of Age]" caption="Average of Age" measure="1" displayFolder="" measureGroup="Table2" count="0" hidden="1">
      <extLst>
        <ext xmlns:x15="http://schemas.microsoft.com/office/spreadsheetml/2010/11/main" uri="{B97F6D7D-B522-45F9-BDA1-12C45D357490}">
          <x15:cacheHierarchy aggregatedColumn="5"/>
        </ext>
      </extLst>
    </cacheHierarchy>
    <cacheHierarchy uniqueName="[Measures].[Sum of Treatment Cost]" caption="Sum of Treatment Cost" measure="1" displayFolder="" measureGroup="Table2" count="0" hidden="1">
      <extLst>
        <ext xmlns:x15="http://schemas.microsoft.com/office/spreadsheetml/2010/11/main" uri="{B97F6D7D-B522-45F9-BDA1-12C45D357490}">
          <x15:cacheHierarchy aggregatedColumn="7"/>
        </ext>
      </extLst>
    </cacheHierarchy>
    <cacheHierarchy uniqueName="[Measures].[Average of Treatment Cost]" caption="Average of Treatment Cost" measure="1" displayFolder="" measureGroup="Table2" count="0" hidden="1">
      <extLst>
        <ext xmlns:x15="http://schemas.microsoft.com/office/spreadsheetml/2010/11/main" uri="{B97F6D7D-B522-45F9-BDA1-12C45D357490}">
          <x15:cacheHierarchy aggregatedColumn="7"/>
        </ext>
      </extLst>
    </cacheHierarchy>
    <cacheHierarchy uniqueName="[Measures].[Sum of Hospital Stay (Days)]" caption="Sum of Hospital Stay (Days)" measure="1" displayFolder="" measureGroup="Table2" count="0" hidden="1">
      <extLst>
        <ext xmlns:x15="http://schemas.microsoft.com/office/spreadsheetml/2010/11/main" uri="{B97F6D7D-B522-45F9-BDA1-12C45D357490}">
          <x15:cacheHierarchy aggregatedColumn="8"/>
        </ext>
      </extLst>
    </cacheHierarchy>
    <cacheHierarchy uniqueName="[Measures].[Sum of Recovery Score]" caption="Sum of Recovery Score" measure="1" displayFolder="" measureGroup="Table2" count="0" hidden="1">
      <extLst>
        <ext xmlns:x15="http://schemas.microsoft.com/office/spreadsheetml/2010/11/main" uri="{B97F6D7D-B522-45F9-BDA1-12C45D357490}">
          <x15:cacheHierarchy aggregatedColumn="9"/>
        </ext>
      </extLst>
    </cacheHierarchy>
    <cacheHierarchy uniqueName="[Measures].[Average of Recovery Score]" caption="Average of Recovery Score" measure="1" displayFolder="" measureGroup="Table2" count="0" hidden="1">
      <extLst>
        <ext xmlns:x15="http://schemas.microsoft.com/office/spreadsheetml/2010/11/main" uri="{B97F6D7D-B522-45F9-BDA1-12C45D357490}">
          <x15:cacheHierarchy aggregatedColumn="9"/>
        </ext>
      </extLst>
    </cacheHierarchy>
    <cacheHierarchy uniqueName="[Measures].[Average of Hospital Stay (Days)]" caption="Average of Hospital Stay (Days)" measure="1" displayFolder="" measureGroup="Table2" count="0" hidden="1">
      <extLst>
        <ext xmlns:x15="http://schemas.microsoft.com/office/spreadsheetml/2010/11/main" uri="{B97F6D7D-B522-45F9-BDA1-12C45D357490}">
          <x15:cacheHierarchy aggregatedColumn="8"/>
        </ext>
      </extLst>
    </cacheHierarchy>
    <cacheHierarchy uniqueName="[Measures].[Count of Gender]" caption="Count of Gender" measure="1" displayFolder="" measureGroup="Table2" count="0" hidden="1">
      <extLst>
        <ext xmlns:x15="http://schemas.microsoft.com/office/spreadsheetml/2010/11/main" uri="{B97F6D7D-B522-45F9-BDA1-12C45D357490}">
          <x15:cacheHierarchy aggregatedColumn="4"/>
        </ext>
      </extLst>
    </cacheHierarchy>
    <cacheHierarchy uniqueName="[Measures].[Count of Treatment Cost]" caption="Count of Treatment Cost" measure="1" displayFolder="" measureGroup="Table2" count="0" hidden="1">
      <extLst>
        <ext xmlns:x15="http://schemas.microsoft.com/office/spreadsheetml/2010/11/main" uri="{B97F6D7D-B522-45F9-BDA1-12C45D357490}">
          <x15:cacheHierarchy aggregatedColumn="7"/>
        </ext>
      </extLst>
    </cacheHierarchy>
    <cacheHierarchy uniqueName="[Measures].[Min of Treatment Cost]" caption="Min of Treatment Cost" measure="1" displayFolder="" measureGroup="Table2" count="0" hidden="1">
      <extLst>
        <ext xmlns:x15="http://schemas.microsoft.com/office/spreadsheetml/2010/11/main" uri="{B97F6D7D-B522-45F9-BDA1-12C45D357490}">
          <x15:cacheHierarchy aggregatedColumn="7"/>
        </ext>
      </extLst>
    </cacheHierarchy>
    <cacheHierarchy uniqueName="[Measures].[Max of Treatment Cost]" caption="Max of Treatment Cost" measure="1" displayFolder="" measureGroup="Table2" count="0" hidden="1">
      <extLst>
        <ext xmlns:x15="http://schemas.microsoft.com/office/spreadsheetml/2010/11/main" uri="{B97F6D7D-B522-45F9-BDA1-12C45D357490}">
          <x15:cacheHierarchy aggregatedColumn="7"/>
        </ext>
      </extLst>
    </cacheHierarchy>
    <cacheHierarchy uniqueName="[Measures].[Min of Recovery Score]" caption="Min of Recovery Score" measure="1" displayFolder="" measureGroup="Table2" count="0" hidden="1">
      <extLst>
        <ext xmlns:x15="http://schemas.microsoft.com/office/spreadsheetml/2010/11/main" uri="{B97F6D7D-B522-45F9-BDA1-12C45D357490}">
          <x15:cacheHierarchy aggregatedColumn="9"/>
        </ext>
      </extLst>
    </cacheHierarchy>
    <cacheHierarchy uniqueName="[Measures].[Max of Recovery Score]" caption="Max of Recovery Score" measure="1" displayFolder="" measureGroup="Table2" count="0" hidden="1">
      <extLst>
        <ext xmlns:x15="http://schemas.microsoft.com/office/spreadsheetml/2010/11/main" uri="{B97F6D7D-B522-45F9-BDA1-12C45D357490}">
          <x15:cacheHierarchy aggregatedColumn="9"/>
        </ext>
      </extLst>
    </cacheHierarchy>
    <cacheHierarchy uniqueName="[Measures].[StdDev of Recovery Score]" caption="StdDev of Recovery Score" measure="1" displayFolder="" measureGroup="Table2" count="0" hidden="1">
      <extLst>
        <ext xmlns:x15="http://schemas.microsoft.com/office/spreadsheetml/2010/11/main" uri="{B97F6D7D-B522-45F9-BDA1-12C45D357490}">
          <x15:cacheHierarchy aggregatedColumn="9"/>
        </ext>
      </extLst>
    </cacheHierarchy>
    <cacheHierarchy uniqueName="[Measures].[Count of Recovery Score]" caption="Count of Recovery Score" measure="1" displayFolder="" measureGroup="Table2" count="0" hidden="1">
      <extLst>
        <ext xmlns:x15="http://schemas.microsoft.com/office/spreadsheetml/2010/11/main" uri="{B97F6D7D-B522-45F9-BDA1-12C45D357490}">
          <x15:cacheHierarchy aggregatedColumn="9"/>
        </ext>
      </extLst>
    </cacheHierarchy>
    <cacheHierarchy uniqueName="[Measures].[Min of Hospital Stay (Days)]" caption="Min of Hospital Stay (Days)" measure="1" displayFolder="" measureGroup="Table2" count="0" hidden="1">
      <extLst>
        <ext xmlns:x15="http://schemas.microsoft.com/office/spreadsheetml/2010/11/main" uri="{B97F6D7D-B522-45F9-BDA1-12C45D357490}">
          <x15:cacheHierarchy aggregatedColumn="8"/>
        </ext>
      </extLst>
    </cacheHierarchy>
    <cacheHierarchy uniqueName="[Measures].[Distinct Count of Hospital Stay (Days)]" caption="Distinct Count of Hospital Stay (Days)" measure="1" displayFolder="" measureGroup="Table2" count="0" hidden="1">
      <extLst>
        <ext xmlns:x15="http://schemas.microsoft.com/office/spreadsheetml/2010/11/main" uri="{B97F6D7D-B522-45F9-BDA1-12C45D357490}">
          <x15:cacheHierarchy aggregatedColumn="8"/>
        </ext>
      </extLst>
    </cacheHierarchy>
    <cacheHierarchy uniqueName="[Measures].[Count of Department]" caption="Count of Department" measure="1" displayFolder="" measureGroup="Table2" count="0" hidden="1">
      <extLst>
        <ext xmlns:x15="http://schemas.microsoft.com/office/spreadsheetml/2010/11/main" uri="{B97F6D7D-B522-45F9-BDA1-12C45D357490}">
          <x15:cacheHierarchy aggregatedColumn="1"/>
        </ext>
      </extLst>
    </cacheHierarchy>
    <cacheHierarchy uniqueName="[Measures].[Count of Treatment Type]" caption="Count of Treatment Type" measure="1" displayFolder="" measureGroup="Table2" count="0" hidden="1">
      <extLst>
        <ext xmlns:x15="http://schemas.microsoft.com/office/spreadsheetml/2010/11/main" uri="{B97F6D7D-B522-45F9-BDA1-12C45D357490}">
          <x15:cacheHierarchy aggregatedColumn="2"/>
        </ext>
      </extLst>
    </cacheHierarchy>
    <cacheHierarchy uniqueName="[Measures].[Max of Hospital Stay (Days)]" caption="Max of Hospital Stay (Days)" measure="1" displayFolder="" measureGroup="Table2"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slicerData="1" pivotCacheId="139627294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07A926D-2A9B-439F-96C2-4D3423171CA0}" name="PivotTable11" cacheId="1457"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4">
  <location ref="B32:C38"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x v="5"/>
    </i>
  </rowItems>
  <colItems count="1">
    <i/>
  </colItems>
  <dataFields count="1">
    <dataField name="Average of Age" fld="1" subtotal="average" baseField="0" baseItem="2" numFmtId="164"/>
  </dataFields>
  <formats count="6">
    <format dxfId="1285">
      <pivotArea type="all" dataOnly="0" outline="0" fieldPosition="0"/>
    </format>
    <format dxfId="1284">
      <pivotArea outline="0" collapsedLevelsAreSubtotals="1" fieldPosition="0"/>
    </format>
    <format dxfId="1283">
      <pivotArea field="0" type="button" dataOnly="0" labelOnly="1" outline="0" axis="axisRow" fieldPosition="0"/>
    </format>
    <format dxfId="1282">
      <pivotArea dataOnly="0" labelOnly="1" fieldPosition="0">
        <references count="1">
          <reference field="0" count="0"/>
        </references>
      </pivotArea>
    </format>
    <format dxfId="1281">
      <pivotArea dataOnly="0" labelOnly="1" outline="0" axis="axisValues" fieldPosition="0"/>
    </format>
    <format dxfId="1280">
      <pivotArea outline="0" collapsedLevelsAreSubtotals="1" fieldPosition="0"/>
    </format>
  </formats>
  <chartFormats count="5">
    <chartFormat chart="5" format="21" series="1">
      <pivotArea type="data" outline="0" fieldPosition="0">
        <references count="1">
          <reference field="4294967294" count="1" selected="0">
            <x v="0"/>
          </reference>
        </references>
      </pivotArea>
    </chartFormat>
    <chartFormat chart="5" format="22">
      <pivotArea type="data" outline="0" fieldPosition="0">
        <references count="2">
          <reference field="4294967294" count="1" selected="0">
            <x v="0"/>
          </reference>
          <reference field="0" count="1" selected="0">
            <x v="0"/>
          </reference>
        </references>
      </pivotArea>
    </chartFormat>
    <chartFormat chart="5" format="23">
      <pivotArea type="data" outline="0" fieldPosition="0">
        <references count="2">
          <reference field="4294967294" count="1" selected="0">
            <x v="0"/>
          </reference>
          <reference field="0" count="1" selected="0">
            <x v="1"/>
          </reference>
        </references>
      </pivotArea>
    </chartFormat>
    <chartFormat chart="5" format="24">
      <pivotArea type="data" outline="0" fieldPosition="0">
        <references count="2">
          <reference field="4294967294" count="1" selected="0">
            <x v="0"/>
          </reference>
          <reference field="0" count="1" selected="0">
            <x v="2"/>
          </reference>
        </references>
      </pivotArea>
    </chartFormat>
    <chartFormat chart="5" format="25">
      <pivotArea type="data" outline="0" fieldPosition="0">
        <references count="2">
          <reference field="4294967294" count="1" selected="0">
            <x v="0"/>
          </reference>
          <reference field="0" count="1" selected="0">
            <x v="3"/>
          </reference>
        </references>
      </pivotArea>
    </chartFormat>
  </chartFormats>
  <pivotHierarchies count="34">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Age"/>
    <pivotHierarchy dragToData="1" caption="Sum of Treatment Cost"/>
    <pivotHierarchy dragToData="1" caption="Average of Treatment Cost"/>
    <pivotHierarchy dragToData="1"/>
    <pivotHierarchy dragToData="1"/>
    <pivotHierarchy dragToData="1"/>
    <pivotHierarchy dragToData="1"/>
    <pivotHierarchy dragToData="1"/>
    <pivotHierarchy dragToData="1" caption="Count of Treatment Cos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rrent_DB_Working.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5E525F4-8961-4D79-A257-D072ADE68821}" name="PivotTable29" cacheId="1499"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29">
  <location ref="B117:C123"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x v="5"/>
    </i>
  </rowItems>
  <colItems count="1">
    <i/>
  </colItems>
  <dataFields count="1">
    <dataField name="Average of Recovery Score" fld="1" subtotal="average" baseField="0" baseItem="0" numFmtId="164"/>
  </dataFields>
  <formats count="4">
    <format dxfId="1289">
      <pivotArea type="all" dataOnly="0" outline="0" fieldPosition="0"/>
    </format>
    <format dxfId="1288">
      <pivotArea outline="0" collapsedLevelsAreSubtotals="1" fieldPosition="0"/>
    </format>
    <format dxfId="1287">
      <pivotArea dataOnly="0" labelOnly="1" outline="0" axis="axisValues" fieldPosition="0"/>
    </format>
    <format dxfId="1286">
      <pivotArea outline="0" collapsedLevelsAreSubtotals="1" fieldPosition="0"/>
    </format>
  </formats>
  <pivotHierarchies count="34">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Age"/>
    <pivotHierarchy dragToData="1" caption="Sum of Treatment Cost"/>
    <pivotHierarchy dragToData="1" caption="Average of Treatment Cost"/>
    <pivotHierarchy dragToData="1" caption="Sum of Hospital Stay (Days)"/>
    <pivotHierarchy dragToData="1"/>
    <pivotHierarchy dragToData="1" caption="Average of Recovery Score"/>
    <pivotHierarchy dragToData="1"/>
    <pivotHierarchy dragToData="1"/>
    <pivotHierarchy dragToData="1" caption="Count of Treatment Cost"/>
    <pivotHierarchy dragToData="1"/>
    <pivotHierarchy dragToData="1" caption="Max of Treatment Cost"/>
    <pivotHierarchy dragToData="1"/>
    <pivotHierarchy dragToData="1"/>
    <pivotHierarchy dragToData="1"/>
    <pivotHierarchy dragToData="1" caption="Count of Recovery Score"/>
    <pivotHierarchy dragToData="1" caption="Min of Hospital Stay (Days)"/>
    <pivotHierarchy dragToData="1" caption="Distinct Count of Hospital Stay (Days)"/>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rrent_DB_Working.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37F588-AF05-47E0-B492-C5BFB082DCEA}" name="PivotTable4" cacheId="147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3">
  <location ref="E33:H39" firstHeaderRow="0" firstDataRow="1" firstDataCol="1"/>
  <pivotFields count="5">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1"/>
    </i>
    <i>
      <x v="2"/>
    </i>
    <i>
      <x v="3"/>
    </i>
    <i>
      <x v="4"/>
    </i>
    <i>
      <x v="5"/>
    </i>
  </rowItems>
  <colFields count="1">
    <field x="-2"/>
  </colFields>
  <colItems count="3">
    <i>
      <x/>
    </i>
    <i i="1">
      <x v="1"/>
    </i>
    <i i="2">
      <x v="2"/>
    </i>
  </colItems>
  <dataFields count="3">
    <dataField name="Average of Recovery Score" fld="1" subtotal="average" baseField="0" baseItem="1" numFmtId="164"/>
    <dataField name="Min of Recovery Score" fld="2" subtotal="min" baseField="0" baseItem="0"/>
    <dataField name="Max of Recovery Score" fld="3" subtotal="max" baseField="0" baseItem="0"/>
  </dataFields>
  <formats count="6">
    <format dxfId="1295">
      <pivotArea type="all" dataOnly="0" outline="0" fieldPosition="0"/>
    </format>
    <format dxfId="1294">
      <pivotArea outline="0" collapsedLevelsAreSubtotals="1" fieldPosition="0"/>
    </format>
    <format dxfId="1293">
      <pivotArea field="0" type="button" dataOnly="0" labelOnly="1" outline="0" axis="axisRow" fieldPosition="0"/>
    </format>
    <format dxfId="1292">
      <pivotArea dataOnly="0" labelOnly="1" fieldPosition="0">
        <references count="1">
          <reference field="0" count="0"/>
        </references>
      </pivotArea>
    </format>
    <format dxfId="1291">
      <pivotArea dataOnly="0" labelOnly="1" outline="0" fieldPosition="0">
        <references count="1">
          <reference field="4294967294" count="3">
            <x v="0"/>
            <x v="1"/>
            <x v="2"/>
          </reference>
        </references>
      </pivotArea>
    </format>
    <format dxfId="1290">
      <pivotArea outline="0" collapsedLevelsAreSubtotals="1" fieldPosition="0">
        <references count="1">
          <reference field="4294967294" count="1" selected="0">
            <x v="0"/>
          </reference>
        </references>
      </pivotArea>
    </format>
  </formats>
  <chartFormats count="11">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 chart="3" format="9">
      <pivotArea type="data" outline="0" fieldPosition="0">
        <references count="2">
          <reference field="4294967294" count="1" selected="0">
            <x v="0"/>
          </reference>
          <reference field="0" count="1" selected="0">
            <x v="0"/>
          </reference>
        </references>
      </pivotArea>
    </chartFormat>
    <chartFormat chart="3" format="10">
      <pivotArea type="data" outline="0" fieldPosition="0">
        <references count="2">
          <reference field="4294967294" count="1" selected="0">
            <x v="0"/>
          </reference>
          <reference field="0" count="1" selected="0">
            <x v="1"/>
          </reference>
        </references>
      </pivotArea>
    </chartFormat>
    <chartFormat chart="3" format="11">
      <pivotArea type="data" outline="0" fieldPosition="0">
        <references count="2">
          <reference field="4294967294" count="1" selected="0">
            <x v="0"/>
          </reference>
          <reference field="0" count="1" selected="0">
            <x v="2"/>
          </reference>
        </references>
      </pivotArea>
    </chartFormat>
    <chartFormat chart="3" format="12">
      <pivotArea type="data" outline="0" fieldPosition="0">
        <references count="2">
          <reference field="4294967294" count="1" selected="0">
            <x v="0"/>
          </reference>
          <reference field="0" count="1" selected="0">
            <x v="3"/>
          </reference>
        </references>
      </pivotArea>
    </chartFormat>
    <chartFormat chart="3" format="13">
      <pivotArea type="data" outline="0" fieldPosition="0">
        <references count="2">
          <reference field="4294967294" count="1" selected="0">
            <x v="0"/>
          </reference>
          <reference field="0" count="1" selected="0">
            <x v="5"/>
          </reference>
        </references>
      </pivotArea>
    </chartFormat>
    <chartFormat chart="17" format="17" series="1">
      <pivotArea type="data" outline="0" fieldPosition="0">
        <references count="1">
          <reference field="4294967294" count="1" selected="0">
            <x v="2"/>
          </reference>
        </references>
      </pivotArea>
    </chartFormat>
    <chartFormat chart="17" format="18" series="1">
      <pivotArea type="data" outline="0" fieldPosition="0">
        <references count="1">
          <reference field="4294967294" count="1" selected="0">
            <x v="0"/>
          </reference>
        </references>
      </pivotArea>
    </chartFormat>
    <chartFormat chart="17" format="19" series="1">
      <pivotArea type="data" outline="0" fieldPosition="0">
        <references count="1">
          <reference field="4294967294" count="1" selected="0">
            <x v="1"/>
          </reference>
        </references>
      </pivotArea>
    </chartFormat>
  </chartFormats>
  <pivotHierarchies count="34">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Sum of Treatment Cost"/>
    <pivotHierarchy dragToData="1" caption="Average of Treatment Cost"/>
    <pivotHierarchy dragToData="1"/>
    <pivotHierarchy dragToData="1"/>
    <pivotHierarchy dragToData="1" caption="Average of Recovery Score"/>
    <pivotHierarchy dragToData="1"/>
    <pivotHierarchy dragToData="1"/>
    <pivotHierarchy dragToData="1" caption="Count of Treatment Cost"/>
    <pivotHierarchy dragToData="1" caption="Min of Treatment Cost"/>
    <pivotHierarchy dragToData="1" caption="Max of Treatment Cost2"/>
    <pivotHierarchy dragToData="1" caption="Min of Recovery Score"/>
    <pivotHierarchy dragToData="1" caption="Max of Recovery Score"/>
    <pivotHierarchy dragToData="1" caption="StdDev of Recovery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rrent_DB_Working.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7199E4E-FAFA-4915-895D-E6F96B8147F0}" name="PivotTable1" cacheId="14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F3"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name="Total Patients" fld="0" subtotal="count" baseField="0" baseItem="0"/>
    <dataField name="Average of Age" fld="1" subtotal="average" baseField="0" baseItem="1" numFmtId="164"/>
    <dataField name="Average of Treatment Cost" fld="2" subtotal="average" baseField="0" baseItem="1" numFmtId="165"/>
    <dataField name="Average of Recovery Score" fld="3" subtotal="average" baseField="0" baseItem="1" numFmtId="164"/>
    <dataField name="Average of Hospital Stay (Days)" fld="4" subtotal="average" baseField="0" baseItem="1" numFmtId="2"/>
  </dataFields>
  <formats count="6">
    <format dxfId="1301">
      <pivotArea outline="0" collapsedLevelsAreSubtotals="1" fieldPosition="0">
        <references count="1">
          <reference field="4294967294" count="4" selected="0">
            <x v="1"/>
            <x v="2"/>
            <x v="3"/>
            <x v="4"/>
          </reference>
        </references>
      </pivotArea>
    </format>
    <format dxfId="1300">
      <pivotArea type="all" dataOnly="0" outline="0" fieldPosition="0"/>
    </format>
    <format dxfId="1299">
      <pivotArea outline="0" collapsedLevelsAreSubtotals="1" fieldPosition="0"/>
    </format>
    <format dxfId="1298">
      <pivotArea dataOnly="0" labelOnly="1" outline="0" fieldPosition="0">
        <references count="1">
          <reference field="4294967294" count="5">
            <x v="0"/>
            <x v="1"/>
            <x v="2"/>
            <x v="3"/>
            <x v="4"/>
          </reference>
        </references>
      </pivotArea>
    </format>
    <format dxfId="1297">
      <pivotArea outline="0" collapsedLevelsAreSubtotals="1" fieldPosition="0">
        <references count="1">
          <reference field="4294967294" count="1" selected="0">
            <x v="2"/>
          </reference>
        </references>
      </pivotArea>
    </format>
    <format dxfId="1296">
      <pivotArea outline="0" collapsedLevelsAreSubtotals="1" fieldPosition="0">
        <references count="1">
          <reference field="4294967294" count="1" selected="0">
            <x v="4"/>
          </reference>
        </references>
      </pivotArea>
    </format>
  </formats>
  <pivotHierarchies count="34">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Patients"/>
    <pivotHierarchy dragToData="1"/>
    <pivotHierarchy dragToData="1" caption="Average of Age"/>
    <pivotHierarchy dragToData="1"/>
    <pivotHierarchy dragToData="1" caption="Average of Treatment Cost"/>
    <pivotHierarchy dragToData="1"/>
    <pivotHierarchy dragToData="1"/>
    <pivotHierarchy dragToData="1" caption="Average of Recovery Score"/>
    <pivotHierarchy dragToData="1" caption="Average of Hospital Stay (Day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rrent_DB_Working.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BE7C525-1900-4539-8D4F-D81CCF564A3C}" name="PivotTable7" cacheId="148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F56:G62"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x v="5"/>
    </i>
  </rowItems>
  <colItems count="1">
    <i/>
  </colItems>
  <dataFields count="1">
    <dataField name="Average of Hospital Stay (Days)" fld="1" subtotal="average" baseField="0" baseItem="5" numFmtId="164"/>
  </dataFields>
  <formats count="1">
    <format dxfId="1302">
      <pivotArea outline="0" collapsedLevelsAreSubtotals="1" fieldPosition="0"/>
    </format>
  </formats>
  <pivotHierarchies count="34">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Hospital Stay (Day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Max of Hospital Stay (Days)"/>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rrent_DB_Working.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90EBFE5-0540-4AC6-AA11-D3764E3601F2}" name="PivotTable28" cacheId="1496"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29">
  <location ref="B107:C113"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6">
    <i>
      <x/>
    </i>
    <i>
      <x v="1"/>
    </i>
    <i>
      <x v="2"/>
    </i>
    <i>
      <x v="3"/>
    </i>
    <i>
      <x v="4"/>
    </i>
    <i>
      <x v="5"/>
    </i>
  </rowItems>
  <colItems count="1">
    <i/>
  </colItems>
  <dataFields count="1">
    <dataField name="Count of Patient ID" fld="0" subtotal="count" baseField="0" baseItem="0"/>
  </dataFields>
  <formats count="3">
    <format dxfId="1305">
      <pivotArea type="all" dataOnly="0" outline="0" fieldPosition="0"/>
    </format>
    <format dxfId="1304">
      <pivotArea outline="0" collapsedLevelsAreSubtotals="1" fieldPosition="0"/>
    </format>
    <format dxfId="1303">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0"/>
          </reference>
        </references>
      </pivotArea>
    </chartFormat>
    <chartFormat chart="12" format="17"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Age"/>
    <pivotHierarchy dragToData="1" caption="Sum of Treatment Cost"/>
    <pivotHierarchy dragToData="1" caption="Average of Treatment Cost"/>
    <pivotHierarchy dragToData="1" caption="Sum of Hospital Stay (Days)"/>
    <pivotHierarchy dragToData="1"/>
    <pivotHierarchy dragToData="1" caption="Average of Recovery Score"/>
    <pivotHierarchy dragToData="1"/>
    <pivotHierarchy dragToData="1"/>
    <pivotHierarchy dragToData="1" caption="Count of Treatment Cost"/>
    <pivotHierarchy dragToData="1"/>
    <pivotHierarchy dragToData="1" caption="Max of Treatment Cost"/>
    <pivotHierarchy dragToData="1"/>
    <pivotHierarchy dragToData="1"/>
    <pivotHierarchy dragToData="1"/>
    <pivotHierarchy dragToData="1" caption="Count of Recovery Score"/>
    <pivotHierarchy dragToData="1" caption="Min of Hospital Stay (Days)"/>
    <pivotHierarchy dragToData="1" caption="Distinct Count of Hospital Stay (Days)"/>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rrent_DB_Working.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658ECF9-96D1-4440-B1C7-D362BA625F28}" name="PivotTable10" cacheId="145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4">
  <location ref="B16:C20"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4">
    <i>
      <x/>
    </i>
    <i>
      <x v="1"/>
    </i>
    <i>
      <x v="2"/>
    </i>
    <i>
      <x v="3"/>
    </i>
  </rowItems>
  <colItems count="1">
    <i/>
  </colItems>
  <dataFields count="1">
    <dataField name="Average of Recovery Score" fld="1" subtotal="average" baseField="0" baseItem="0" numFmtId="164"/>
  </dataFields>
  <formats count="7">
    <format dxfId="1312">
      <pivotArea type="all" dataOnly="0" outline="0" fieldPosition="0"/>
    </format>
    <format dxfId="1311">
      <pivotArea outline="0" collapsedLevelsAreSubtotals="1" fieldPosition="0"/>
    </format>
    <format dxfId="1310">
      <pivotArea field="0" type="button" dataOnly="0" labelOnly="1" outline="0" axis="axisRow" fieldPosition="0"/>
    </format>
    <format dxfId="1309">
      <pivotArea dataOnly="0" labelOnly="1" fieldPosition="0">
        <references count="1">
          <reference field="0" count="0"/>
        </references>
      </pivotArea>
    </format>
    <format dxfId="1308">
      <pivotArea dataOnly="0" labelOnly="1" outline="0" axis="axisValues" fieldPosition="0"/>
    </format>
    <format dxfId="1307">
      <pivotArea collapsedLevelsAreSubtotals="1" fieldPosition="0">
        <references count="1">
          <reference field="0" count="1">
            <x v="0"/>
          </reference>
        </references>
      </pivotArea>
    </format>
    <format dxfId="1306">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Sum of Treatment Cost"/>
    <pivotHierarchy dragToData="1" caption="Average of Treatment Cost"/>
    <pivotHierarchy dragToData="1"/>
    <pivotHierarchy dragToData="1"/>
    <pivotHierarchy dragToData="1" caption="Average of Recovery Score"/>
    <pivotHierarchy dragToData="1"/>
    <pivotHierarchy dragToData="1"/>
    <pivotHierarchy dragToData="1" caption="Count of Treatment Cos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rrent_DB_Working.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D11390D-E3C8-47F9-9C80-69C359C2E7A7}" name="PivotTable6" cacheId="1478"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0">
  <location ref="E23:F28" firstHeaderRow="1" firstDataRow="1" firstDataCol="1"/>
  <pivotFields count="2">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1"/>
  </rowFields>
  <rowItems count="5">
    <i>
      <x/>
    </i>
    <i>
      <x v="1"/>
    </i>
    <i>
      <x v="2"/>
    </i>
    <i>
      <x v="3"/>
    </i>
    <i>
      <x v="4"/>
    </i>
  </rowItems>
  <colItems count="1">
    <i/>
  </colItems>
  <dataFields count="1">
    <dataField name="Average of Treatment Cost" fld="0" subtotal="average" baseField="0" baseItem="0" numFmtId="164"/>
  </dataFields>
  <formats count="6">
    <format dxfId="1318">
      <pivotArea type="all" dataOnly="0" outline="0" fieldPosition="0"/>
    </format>
    <format dxfId="1317">
      <pivotArea outline="0" collapsedLevelsAreSubtotals="1" fieldPosition="0"/>
    </format>
    <format dxfId="1316">
      <pivotArea field="1" type="button" dataOnly="0" labelOnly="1" outline="0" axis="axisRow" fieldPosition="0"/>
    </format>
    <format dxfId="1315">
      <pivotArea dataOnly="0" labelOnly="1" fieldPosition="0">
        <references count="1">
          <reference field="1" count="0"/>
        </references>
      </pivotArea>
    </format>
    <format dxfId="1314">
      <pivotArea dataOnly="0" labelOnly="1" outline="0" axis="axisValues" fieldPosition="0"/>
    </format>
    <format dxfId="1313">
      <pivotArea outline="0" collapsedLevelsAreSubtotals="1" fieldPosition="0"/>
    </format>
  </formats>
  <chartFormats count="2">
    <chartFormat chart="3" format="8" series="1">
      <pivotArea type="data" outline="0" fieldPosition="0">
        <references count="1">
          <reference field="4294967294" count="1" selected="0">
            <x v="0"/>
          </reference>
        </references>
      </pivotArea>
    </chartFormat>
    <chartFormat chart="7" format="21"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Sum of Treatment Cost"/>
    <pivotHierarchy dragToData="1" caption="Average of Treatment Cost"/>
    <pivotHierarchy dragToData="1"/>
    <pivotHierarchy dragToData="1"/>
    <pivotHierarchy dragToData="1"/>
    <pivotHierarchy dragToData="1"/>
    <pivotHierarchy dragToData="1"/>
    <pivotHierarchy dragToData="1" caption="Count of Treatment Cos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rrent_DB_Working.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60ADC31-0B09-471B-A4C0-A7C0A3B013FB}" name="PivotTable14" cacheId="1463"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location ref="H16:I20"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4">
    <i>
      <x/>
    </i>
    <i>
      <x v="1"/>
    </i>
    <i>
      <x v="2"/>
    </i>
    <i>
      <x v="3"/>
    </i>
  </rowItems>
  <colItems count="1">
    <i/>
  </colItems>
  <dataFields count="1">
    <dataField name="Sum of Treatment Cost" fld="1" baseField="0" baseItem="0" numFmtId="165"/>
  </dataFields>
  <formats count="4">
    <format dxfId="1322">
      <pivotArea type="all" dataOnly="0" outline="0" fieldPosition="0"/>
    </format>
    <format dxfId="1321">
      <pivotArea outline="0" collapsedLevelsAreSubtotals="1" fieldPosition="0"/>
    </format>
    <format dxfId="1320">
      <pivotArea dataOnly="0" labelOnly="1" outline="0" axis="axisValues" fieldPosition="0"/>
    </format>
    <format dxfId="1319">
      <pivotArea outline="0" collapsedLevelsAreSubtotals="1" fieldPosition="0"/>
    </format>
  </formats>
  <pivotHierarchies count="34">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Age"/>
    <pivotHierarchy dragToData="1" caption="Sum of Treatment Cost"/>
    <pivotHierarchy dragToData="1" caption="Average of Treatment Cost"/>
    <pivotHierarchy dragToData="1" caption="Sum of Hospital Stay (Days)"/>
    <pivotHierarchy dragToData="1"/>
    <pivotHierarchy dragToData="1" caption="Average of Recovery Score"/>
    <pivotHierarchy dragToData="1"/>
    <pivotHierarchy dragToData="1"/>
    <pivotHierarchy dragToData="1" caption="Count of Treatment Cost"/>
    <pivotHierarchy dragToData="1"/>
    <pivotHierarchy dragToData="1" caption="Max of Treatment Cost"/>
    <pivotHierarchy dragToData="1"/>
    <pivotHierarchy dragToData="1"/>
    <pivotHierarchy dragToData="1"/>
    <pivotHierarchy dragToData="1" caption="Count of Recovery Score"/>
    <pivotHierarchy dragToData="1" caption="Min of Hospital Stay (Days)"/>
    <pivotHierarchy dragToData="1" caption="Distinct Count of Hospital Stay (Days)"/>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rrent_DB_Working.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0B644A3-80BF-4DE8-A92B-D373C6147AB3}" name="PivotTable12" cacheId="146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7">
  <location ref="H24:I28"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4">
    <i>
      <x/>
    </i>
    <i>
      <x v="1"/>
    </i>
    <i>
      <x v="2"/>
    </i>
    <i>
      <x v="3"/>
    </i>
  </rowItems>
  <colItems count="1">
    <i/>
  </colItems>
  <dataFields count="1">
    <dataField name="Average of Age" fld="0" subtotal="average" baseField="0" baseItem="0" numFmtId="164"/>
  </dataFields>
  <formats count="6">
    <format dxfId="1328">
      <pivotArea type="all" dataOnly="0" outline="0" fieldPosition="0"/>
    </format>
    <format dxfId="1327">
      <pivotArea outline="0" collapsedLevelsAreSubtotals="1" fieldPosition="0"/>
    </format>
    <format dxfId="1326">
      <pivotArea field="1" type="button" dataOnly="0" labelOnly="1" outline="0" axis="axisRow" fieldPosition="0"/>
    </format>
    <format dxfId="1325">
      <pivotArea dataOnly="0" labelOnly="1" fieldPosition="0">
        <references count="1">
          <reference field="1" count="0"/>
        </references>
      </pivotArea>
    </format>
    <format dxfId="1324">
      <pivotArea dataOnly="0" labelOnly="1" outline="0" axis="axisValues" fieldPosition="0"/>
    </format>
    <format dxfId="1323">
      <pivotArea outline="0" collapsedLevelsAreSubtotals="1" fieldPosition="0"/>
    </format>
  </formats>
  <chartFormats count="5">
    <chartFormat chart="3" format="36" series="1">
      <pivotArea type="data" outline="0" fieldPosition="0">
        <references count="1">
          <reference field="4294967294" count="1" selected="0">
            <x v="0"/>
          </reference>
        </references>
      </pivotArea>
    </chartFormat>
    <chartFormat chart="3" format="37">
      <pivotArea type="data" outline="0" fieldPosition="0">
        <references count="2">
          <reference field="4294967294" count="1" selected="0">
            <x v="0"/>
          </reference>
          <reference field="1" count="1" selected="0">
            <x v="0"/>
          </reference>
        </references>
      </pivotArea>
    </chartFormat>
    <chartFormat chart="3" format="38">
      <pivotArea type="data" outline="0" fieldPosition="0">
        <references count="2">
          <reference field="4294967294" count="1" selected="0">
            <x v="0"/>
          </reference>
          <reference field="1" count="1" selected="0">
            <x v="1"/>
          </reference>
        </references>
      </pivotArea>
    </chartFormat>
    <chartFormat chart="3" format="39">
      <pivotArea type="data" outline="0" fieldPosition="0">
        <references count="2">
          <reference field="4294967294" count="1" selected="0">
            <x v="0"/>
          </reference>
          <reference field="1" count="1" selected="0">
            <x v="2"/>
          </reference>
        </references>
      </pivotArea>
    </chartFormat>
    <chartFormat chart="3" format="40">
      <pivotArea type="data" outline="0" fieldPosition="0">
        <references count="2">
          <reference field="4294967294" count="1" selected="0">
            <x v="0"/>
          </reference>
          <reference field="1" count="1" selected="0">
            <x v="3"/>
          </reference>
        </references>
      </pivotArea>
    </chartFormat>
  </chartFormats>
  <pivotHierarchies count="34">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Age"/>
    <pivotHierarchy dragToData="1" caption="Sum of Treatment Cost"/>
    <pivotHierarchy dragToData="1" caption="Average of Treatment Cost"/>
    <pivotHierarchy dragToData="1"/>
    <pivotHierarchy dragToData="1"/>
    <pivotHierarchy dragToData="1"/>
    <pivotHierarchy dragToData="1"/>
    <pivotHierarchy dragToData="1"/>
    <pivotHierarchy dragToData="1" caption="Count of Treatment Cos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rrent_DB_Working.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111B146-85B0-4D1D-930E-6B40556FC3F5}" name="PivotTable2" cacheId="146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location ref="B6:E13" firstHeaderRow="1" firstDataRow="2" firstDataCol="1"/>
  <pivotFields count="4">
    <pivotField axis="axisRow" allDrilled="1" subtotalTop="0" showAll="0" dataSourceSort="1" defaultSubtotal="0" defaultAttributeDrillState="1">
      <items count="6">
        <item x="0"/>
        <item x="1"/>
        <item x="2"/>
        <item x="3"/>
        <item x="4"/>
        <item x="5"/>
      </items>
    </pivotField>
    <pivotField axis="axisCol"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x v="5"/>
    </i>
  </rowItems>
  <colFields count="1">
    <field x="1"/>
  </colFields>
  <colItems count="3">
    <i>
      <x/>
    </i>
    <i>
      <x v="1"/>
    </i>
    <i>
      <x v="2"/>
    </i>
  </colItems>
  <dataFields count="1">
    <dataField name="Count of Gender" fld="2" subtotal="count" baseField="0" baseItem="0"/>
  </dataFields>
  <chartFormats count="8">
    <chartFormat chart="3" format="6" series="1">
      <pivotArea type="data" outline="0" fieldPosition="0">
        <references count="2">
          <reference field="4294967294" count="1" selected="0">
            <x v="0"/>
          </reference>
          <reference field="1" count="1" selected="0">
            <x v="0"/>
          </reference>
        </references>
      </pivotArea>
    </chartFormat>
    <chartFormat chart="3" format="7" series="1">
      <pivotArea type="data" outline="0" fieldPosition="0">
        <references count="2">
          <reference field="4294967294" count="1" selected="0">
            <x v="0"/>
          </reference>
          <reference field="1" count="1" selected="0">
            <x v="1"/>
          </reference>
        </references>
      </pivotArea>
    </chartFormat>
    <chartFormat chart="3" format="8" series="1">
      <pivotArea type="data" outline="0" fieldPosition="0">
        <references count="2">
          <reference field="4294967294" count="1" selected="0">
            <x v="0"/>
          </reference>
          <reference field="1" count="1" selected="0">
            <x v="2"/>
          </reference>
        </references>
      </pivotArea>
    </chartFormat>
    <chartFormat chart="9" format="12" series="1">
      <pivotArea type="data" outline="0" fieldPosition="0">
        <references count="2">
          <reference field="4294967294" count="1" selected="0">
            <x v="0"/>
          </reference>
          <reference field="1" count="1" selected="0">
            <x v="0"/>
          </reference>
        </references>
      </pivotArea>
    </chartFormat>
    <chartFormat chart="9" format="13" series="1">
      <pivotArea type="data" outline="0" fieldPosition="0">
        <references count="2">
          <reference field="4294967294" count="1" selected="0">
            <x v="0"/>
          </reference>
          <reference field="1" count="1" selected="0">
            <x v="1"/>
          </reference>
        </references>
      </pivotArea>
    </chartFormat>
    <chartFormat chart="9" format="14" series="1">
      <pivotArea type="data" outline="0" fieldPosition="0">
        <references count="2">
          <reference field="4294967294" count="1" selected="0">
            <x v="0"/>
          </reference>
          <reference field="1" count="1" selected="0">
            <x v="2"/>
          </reference>
        </references>
      </pivotArea>
    </chartFormat>
    <chartFormat chart="9" format="15"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rrent_DB_Working.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6030E98-3E5D-4ECF-818E-219547124CF9}" name="PivotTable27" cacheId="1493"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28">
  <location ref="B100:C105" firstHeaderRow="1" firstDataRow="1" firstDataCol="1"/>
  <pivotFields count="2">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1"/>
  </rowFields>
  <rowItems count="5">
    <i>
      <x/>
    </i>
    <i>
      <x v="1"/>
    </i>
    <i>
      <x v="2"/>
    </i>
    <i>
      <x v="3"/>
    </i>
    <i>
      <x v="4"/>
    </i>
  </rowItems>
  <colItems count="1">
    <i/>
  </colItems>
  <dataFields count="1">
    <dataField name="Count of Patient ID" fld="0" subtotal="count" baseField="0" baseItem="0"/>
  </dataFields>
  <formats count="3">
    <format dxfId="1331">
      <pivotArea type="all" dataOnly="0" outline="0" fieldPosition="0"/>
    </format>
    <format dxfId="1330">
      <pivotArea outline="0" collapsedLevelsAreSubtotals="1" fieldPosition="0"/>
    </format>
    <format dxfId="1329">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0"/>
          </reference>
        </references>
      </pivotArea>
    </chartFormat>
    <chartFormat chart="12" format="17"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Age"/>
    <pivotHierarchy dragToData="1" caption="Sum of Treatment Cost"/>
    <pivotHierarchy dragToData="1" caption="Average of Treatment Cost"/>
    <pivotHierarchy dragToData="1" caption="Sum of Hospital Stay (Days)"/>
    <pivotHierarchy dragToData="1"/>
    <pivotHierarchy dragToData="1" caption="Average of Recovery Score"/>
    <pivotHierarchy dragToData="1"/>
    <pivotHierarchy dragToData="1"/>
    <pivotHierarchy dragToData="1" caption="Count of Treatment Cost"/>
    <pivotHierarchy dragToData="1"/>
    <pivotHierarchy dragToData="1" caption="Max of Treatment Cost"/>
    <pivotHierarchy dragToData="1"/>
    <pivotHierarchy dragToData="1"/>
    <pivotHierarchy dragToData="1"/>
    <pivotHierarchy dragToData="1" caption="Count of Recovery Score"/>
    <pivotHierarchy dragToData="1" caption="Min of Hospital Stay (Days)"/>
    <pivotHierarchy dragToData="1" caption="Distinct Count of Hospital Stay (Days)"/>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rrent_DB_Working.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9998402-FFB1-4DF3-B339-25B8C68D559C}" name="PivotTable15" cacheId="1466"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location ref="B56:C62"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6">
    <i>
      <x/>
    </i>
    <i>
      <x v="1"/>
    </i>
    <i>
      <x v="2"/>
    </i>
    <i>
      <x v="3"/>
    </i>
    <i>
      <x v="4"/>
    </i>
    <i>
      <x v="5"/>
    </i>
  </rowItems>
  <colItems count="1">
    <i/>
  </colItems>
  <dataFields count="1">
    <dataField name="Sum of Recovery Score" fld="0" baseField="0" baseItem="0"/>
  </dataFields>
  <formats count="3">
    <format dxfId="1334">
      <pivotArea type="all" dataOnly="0" outline="0" fieldPosition="0"/>
    </format>
    <format dxfId="1333">
      <pivotArea outline="0" collapsedLevelsAreSubtotals="1" fieldPosition="0"/>
    </format>
    <format dxfId="1332">
      <pivotArea dataOnly="0" labelOnly="1" outline="0" axis="axisValues" fieldPosition="0"/>
    </format>
  </formats>
  <pivotHierarchies count="34">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Age"/>
    <pivotHierarchy dragToData="1" caption="Sum of Treatment Cost"/>
    <pivotHierarchy dragToData="1" caption="Average of Treatment Cost"/>
    <pivotHierarchy dragToData="1" caption="Sum of Hospital Stay (Days)"/>
    <pivotHierarchy dragToData="1"/>
    <pivotHierarchy dragToData="1" caption="Average of Recovery Score"/>
    <pivotHierarchy dragToData="1"/>
    <pivotHierarchy dragToData="1"/>
    <pivotHierarchy dragToData="1" caption="Count of Treatment Cost"/>
    <pivotHierarchy dragToData="1"/>
    <pivotHierarchy dragToData="1" caption="Max of Treatment Cost"/>
    <pivotHierarchy dragToData="1"/>
    <pivotHierarchy dragToData="1"/>
    <pivotHierarchy dragToData="1"/>
    <pivotHierarchy dragToData="1" caption="Count of Recovery Score"/>
    <pivotHierarchy dragToData="1" caption="Min of Hospital Stay (Days)"/>
    <pivotHierarchy dragToData="1" caption="Distinct Count of Hospital Stay (Days)"/>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rrent_DB_Working.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A56DFD6-2FD7-4BC0-A499-66BD4CAF4383}" name="PivotTable9" cacheId="148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6">
  <location ref="B23:C28"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5">
    <i>
      <x/>
    </i>
    <i>
      <x v="1"/>
    </i>
    <i>
      <x v="2"/>
    </i>
    <i>
      <x v="3"/>
    </i>
    <i>
      <x v="4"/>
    </i>
  </rowItems>
  <colItems count="1">
    <i/>
  </colItems>
  <dataFields count="1">
    <dataField name="Average of Recovery Score" fld="1" subtotal="average" baseField="0" baseItem="2" numFmtId="164"/>
  </dataFields>
  <formats count="6">
    <format dxfId="1340">
      <pivotArea type="all" dataOnly="0" outline="0" fieldPosition="0"/>
    </format>
    <format dxfId="1339">
      <pivotArea outline="0" collapsedLevelsAreSubtotals="1" fieldPosition="0"/>
    </format>
    <format dxfId="1338">
      <pivotArea field="0" type="button" dataOnly="0" labelOnly="1" outline="0" axis="axisRow" fieldPosition="0"/>
    </format>
    <format dxfId="1337">
      <pivotArea dataOnly="0" labelOnly="1" fieldPosition="0">
        <references count="1">
          <reference field="0" count="0"/>
        </references>
      </pivotArea>
    </format>
    <format dxfId="1336">
      <pivotArea dataOnly="0" labelOnly="1" outline="0" axis="axisValues" fieldPosition="0"/>
    </format>
    <format dxfId="1335">
      <pivotArea outline="0" collapsedLevelsAreSubtotals="1" fieldPosition="0"/>
    </format>
  </formats>
  <chartFormats count="2">
    <chartFormat chart="3" format="5"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Sum of Treatment Cost"/>
    <pivotHierarchy dragToData="1" caption="Average of Treatment Cost"/>
    <pivotHierarchy dragToData="1"/>
    <pivotHierarchy dragToData="1"/>
    <pivotHierarchy dragToData="1" caption="Average of Recovery Score"/>
    <pivotHierarchy dragToData="1"/>
    <pivotHierarchy dragToData="1"/>
    <pivotHierarchy dragToData="1" caption="Count of Treatment Cos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rrent_DB_Working.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3969F2A-EBC7-469D-83EA-B8AC8CE7CFA4}" name="PivotTable5" cacheId="147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E16:F20"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4">
    <i>
      <x/>
    </i>
    <i>
      <x v="1"/>
    </i>
    <i>
      <x v="2"/>
    </i>
    <i>
      <x v="3"/>
    </i>
  </rowItems>
  <colItems count="1">
    <i/>
  </colItems>
  <dataFields count="1">
    <dataField name="Average of Treatment Cost" fld="1" subtotal="average" baseField="0" baseItem="2" numFmtId="165"/>
  </dataFields>
  <formats count="6">
    <format dxfId="1346">
      <pivotArea type="all" dataOnly="0" outline="0" fieldPosition="0"/>
    </format>
    <format dxfId="1345">
      <pivotArea outline="0" collapsedLevelsAreSubtotals="1" fieldPosition="0"/>
    </format>
    <format dxfId="1344">
      <pivotArea field="0" type="button" dataOnly="0" labelOnly="1" outline="0" axis="axisRow" fieldPosition="0"/>
    </format>
    <format dxfId="1343">
      <pivotArea dataOnly="0" labelOnly="1" fieldPosition="0">
        <references count="1">
          <reference field="0" count="0"/>
        </references>
      </pivotArea>
    </format>
    <format dxfId="1342">
      <pivotArea dataOnly="0" labelOnly="1" outline="0" axis="axisValues" fieldPosition="0"/>
    </format>
    <format dxfId="1341">
      <pivotArea outline="0" collapsedLevelsAreSubtotals="1" fieldPosition="0"/>
    </format>
  </formats>
  <chartFormats count="2">
    <chartFormat chart="3" format="5"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Sum of Treatment Cost"/>
    <pivotHierarchy dragToData="1" caption="Average of Treatment Cost"/>
    <pivotHierarchy dragToData="1"/>
    <pivotHierarchy dragToData="1"/>
    <pivotHierarchy dragToData="1"/>
    <pivotHierarchy dragToData="1"/>
    <pivotHierarchy dragToData="1"/>
    <pivotHierarchy dragToData="1" caption="Count of Treatment Cos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rrent_DB_Working.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1AFC0D3-1434-490D-8711-9A28A110CA34}" name="PivotTable26" cacheId="1490"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20">
  <location ref="B93:C97"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4">
    <i>
      <x/>
    </i>
    <i>
      <x v="1"/>
    </i>
    <i>
      <x v="2"/>
    </i>
    <i>
      <x v="3"/>
    </i>
  </rowItems>
  <colItems count="1">
    <i/>
  </colItems>
  <dataFields count="1">
    <dataField name="Count of Patient ID" fld="0" subtotal="count" baseField="0" baseItem="0"/>
  </dataFields>
  <formats count="3">
    <format dxfId="1349">
      <pivotArea type="all" dataOnly="0" outline="0" fieldPosition="0"/>
    </format>
    <format dxfId="1348">
      <pivotArea outline="0" collapsedLevelsAreSubtotals="1" fieldPosition="0"/>
    </format>
    <format dxfId="1347">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Age"/>
    <pivotHierarchy dragToData="1" caption="Sum of Treatment Cost"/>
    <pivotHierarchy dragToData="1" caption="Average of Treatment Cost"/>
    <pivotHierarchy dragToData="1" caption="Sum of Hospital Stay (Days)"/>
    <pivotHierarchy dragToData="1"/>
    <pivotHierarchy dragToData="1" caption="Average of Recovery Score"/>
    <pivotHierarchy dragToData="1"/>
    <pivotHierarchy dragToData="1"/>
    <pivotHierarchy dragToData="1" caption="Count of Treatment Cost"/>
    <pivotHierarchy dragToData="1"/>
    <pivotHierarchy dragToData="1" caption="Max of Treatment Cost"/>
    <pivotHierarchy dragToData="1"/>
    <pivotHierarchy dragToData="1"/>
    <pivotHierarchy dragToData="1"/>
    <pivotHierarchy dragToData="1" caption="Count of Recovery Score"/>
    <pivotHierarchy dragToData="1" caption="Min of Hospital Stay (Days)"/>
    <pivotHierarchy dragToData="1" caption="Distinct Count of Hospital Stay (Days)"/>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rrent_DB_Working.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CDBB692-088C-483D-83B2-07917BCACA36}" name="PivotTable13" cacheId="1448"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18">
  <location ref="G6:H12"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x v="5"/>
    </i>
  </rowItems>
  <colItems count="1">
    <i/>
  </colItems>
  <dataFields count="1">
    <dataField name="Count of Patient ID" fld="1" subtotal="count" baseField="0" baseItem="0"/>
  </dataFields>
  <formats count="3">
    <format dxfId="1352">
      <pivotArea type="all" dataOnly="0" outline="0" fieldPosition="0"/>
    </format>
    <format dxfId="1351">
      <pivotArea outline="0" collapsedLevelsAreSubtotals="1" fieldPosition="0"/>
    </format>
    <format dxfId="1350">
      <pivotArea dataOnly="0" labelOnly="1" outline="0" axis="axisValues" fieldPosition="0"/>
    </format>
  </formats>
  <chartFormats count="28">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0" count="1" selected="0">
            <x v="0"/>
          </reference>
        </references>
      </pivotArea>
    </chartFormat>
    <chartFormat chart="3" format="10">
      <pivotArea type="data" outline="0" fieldPosition="0">
        <references count="2">
          <reference field="4294967294" count="1" selected="0">
            <x v="0"/>
          </reference>
          <reference field="0" count="1" selected="0">
            <x v="1"/>
          </reference>
        </references>
      </pivotArea>
    </chartFormat>
    <chartFormat chart="3" format="11">
      <pivotArea type="data" outline="0" fieldPosition="0">
        <references count="2">
          <reference field="4294967294" count="1" selected="0">
            <x v="0"/>
          </reference>
          <reference field="0" count="1" selected="0">
            <x v="2"/>
          </reference>
        </references>
      </pivotArea>
    </chartFormat>
    <chartFormat chart="3" format="12">
      <pivotArea type="data" outline="0" fieldPosition="0">
        <references count="2">
          <reference field="4294967294" count="1" selected="0">
            <x v="0"/>
          </reference>
          <reference field="0" count="1" selected="0">
            <x v="3"/>
          </reference>
        </references>
      </pivotArea>
    </chartFormat>
    <chartFormat chart="3" format="13">
      <pivotArea type="data" outline="0" fieldPosition="0">
        <references count="2">
          <reference field="4294967294" count="1" selected="0">
            <x v="0"/>
          </reference>
          <reference field="0" count="1" selected="0">
            <x v="4"/>
          </reference>
        </references>
      </pivotArea>
    </chartFormat>
    <chartFormat chart="3" format="14">
      <pivotArea type="data" outline="0" fieldPosition="0">
        <references count="2">
          <reference field="4294967294" count="1" selected="0">
            <x v="0"/>
          </reference>
          <reference field="0" count="1" selected="0">
            <x v="5"/>
          </reference>
        </references>
      </pivotArea>
    </chartFormat>
    <chartFormat chart="4" format="15" series="1">
      <pivotArea type="data" outline="0" fieldPosition="0">
        <references count="1">
          <reference field="4294967294" count="1" selected="0">
            <x v="0"/>
          </reference>
        </references>
      </pivotArea>
    </chartFormat>
    <chartFormat chart="4" format="16">
      <pivotArea type="data" outline="0" fieldPosition="0">
        <references count="2">
          <reference field="4294967294" count="1" selected="0">
            <x v="0"/>
          </reference>
          <reference field="0" count="1" selected="0">
            <x v="0"/>
          </reference>
        </references>
      </pivotArea>
    </chartFormat>
    <chartFormat chart="4" format="17">
      <pivotArea type="data" outline="0" fieldPosition="0">
        <references count="2">
          <reference field="4294967294" count="1" selected="0">
            <x v="0"/>
          </reference>
          <reference field="0" count="1" selected="0">
            <x v="1"/>
          </reference>
        </references>
      </pivotArea>
    </chartFormat>
    <chartFormat chart="4" format="18">
      <pivotArea type="data" outline="0" fieldPosition="0">
        <references count="2">
          <reference field="4294967294" count="1" selected="0">
            <x v="0"/>
          </reference>
          <reference field="0" count="1" selected="0">
            <x v="2"/>
          </reference>
        </references>
      </pivotArea>
    </chartFormat>
    <chartFormat chart="4" format="19">
      <pivotArea type="data" outline="0" fieldPosition="0">
        <references count="2">
          <reference field="4294967294" count="1" selected="0">
            <x v="0"/>
          </reference>
          <reference field="0" count="1" selected="0">
            <x v="3"/>
          </reference>
        </references>
      </pivotArea>
    </chartFormat>
    <chartFormat chart="4" format="20">
      <pivotArea type="data" outline="0" fieldPosition="0">
        <references count="2">
          <reference field="4294967294" count="1" selected="0">
            <x v="0"/>
          </reference>
          <reference field="0" count="1" selected="0">
            <x v="4"/>
          </reference>
        </references>
      </pivotArea>
    </chartFormat>
    <chartFormat chart="4" format="21">
      <pivotArea type="data" outline="0" fieldPosition="0">
        <references count="2">
          <reference field="4294967294" count="1" selected="0">
            <x v="0"/>
          </reference>
          <reference field="0" count="1" selected="0">
            <x v="5"/>
          </reference>
        </references>
      </pivotArea>
    </chartFormat>
    <chartFormat chart="5" format="22" series="1">
      <pivotArea type="data" outline="0" fieldPosition="0">
        <references count="1">
          <reference field="4294967294" count="1" selected="0">
            <x v="0"/>
          </reference>
        </references>
      </pivotArea>
    </chartFormat>
    <chartFormat chart="5" format="23">
      <pivotArea type="data" outline="0" fieldPosition="0">
        <references count="2">
          <reference field="4294967294" count="1" selected="0">
            <x v="0"/>
          </reference>
          <reference field="0" count="1" selected="0">
            <x v="0"/>
          </reference>
        </references>
      </pivotArea>
    </chartFormat>
    <chartFormat chart="5" format="24">
      <pivotArea type="data" outline="0" fieldPosition="0">
        <references count="2">
          <reference field="4294967294" count="1" selected="0">
            <x v="0"/>
          </reference>
          <reference field="0" count="1" selected="0">
            <x v="1"/>
          </reference>
        </references>
      </pivotArea>
    </chartFormat>
    <chartFormat chart="5" format="25">
      <pivotArea type="data" outline="0" fieldPosition="0">
        <references count="2">
          <reference field="4294967294" count="1" selected="0">
            <x v="0"/>
          </reference>
          <reference field="0" count="1" selected="0">
            <x v="2"/>
          </reference>
        </references>
      </pivotArea>
    </chartFormat>
    <chartFormat chart="5" format="26">
      <pivotArea type="data" outline="0" fieldPosition="0">
        <references count="2">
          <reference field="4294967294" count="1" selected="0">
            <x v="0"/>
          </reference>
          <reference field="0" count="1" selected="0">
            <x v="3"/>
          </reference>
        </references>
      </pivotArea>
    </chartFormat>
    <chartFormat chart="5" format="27">
      <pivotArea type="data" outline="0" fieldPosition="0">
        <references count="2">
          <reference field="4294967294" count="1" selected="0">
            <x v="0"/>
          </reference>
          <reference field="0" count="1" selected="0">
            <x v="4"/>
          </reference>
        </references>
      </pivotArea>
    </chartFormat>
    <chartFormat chart="5" format="28">
      <pivotArea type="data" outline="0" fieldPosition="0">
        <references count="2">
          <reference field="4294967294" count="1" selected="0">
            <x v="0"/>
          </reference>
          <reference field="0" count="1" selected="0">
            <x v="5"/>
          </reference>
        </references>
      </pivotArea>
    </chartFormat>
    <chartFormat chart="7" format="29" series="1">
      <pivotArea type="data" outline="0" fieldPosition="0">
        <references count="1">
          <reference field="4294967294" count="1" selected="0">
            <x v="0"/>
          </reference>
        </references>
      </pivotArea>
    </chartFormat>
    <chartFormat chart="7" format="30">
      <pivotArea type="data" outline="0" fieldPosition="0">
        <references count="2">
          <reference field="4294967294" count="1" selected="0">
            <x v="0"/>
          </reference>
          <reference field="0" count="1" selected="0">
            <x v="0"/>
          </reference>
        </references>
      </pivotArea>
    </chartFormat>
    <chartFormat chart="7" format="31">
      <pivotArea type="data" outline="0" fieldPosition="0">
        <references count="2">
          <reference field="4294967294" count="1" selected="0">
            <x v="0"/>
          </reference>
          <reference field="0" count="1" selected="0">
            <x v="1"/>
          </reference>
        </references>
      </pivotArea>
    </chartFormat>
    <chartFormat chart="7" format="32">
      <pivotArea type="data" outline="0" fieldPosition="0">
        <references count="2">
          <reference field="4294967294" count="1" selected="0">
            <x v="0"/>
          </reference>
          <reference field="0" count="1" selected="0">
            <x v="2"/>
          </reference>
        </references>
      </pivotArea>
    </chartFormat>
    <chartFormat chart="7" format="33">
      <pivotArea type="data" outline="0" fieldPosition="0">
        <references count="2">
          <reference field="4294967294" count="1" selected="0">
            <x v="0"/>
          </reference>
          <reference field="0" count="1" selected="0">
            <x v="3"/>
          </reference>
        </references>
      </pivotArea>
    </chartFormat>
    <chartFormat chart="7" format="34">
      <pivotArea type="data" outline="0" fieldPosition="0">
        <references count="2">
          <reference field="4294967294" count="1" selected="0">
            <x v="0"/>
          </reference>
          <reference field="0" count="1" selected="0">
            <x v="4"/>
          </reference>
        </references>
      </pivotArea>
    </chartFormat>
    <chartFormat chart="7" format="35">
      <pivotArea type="data" outline="0" fieldPosition="0">
        <references count="2">
          <reference field="4294967294" count="1" selected="0">
            <x v="0"/>
          </reference>
          <reference field="0" count="1" selected="0">
            <x v="5"/>
          </reference>
        </references>
      </pivotArea>
    </chartFormat>
  </chartFormats>
  <pivotHierarchies count="34">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Age"/>
    <pivotHierarchy dragToData="1" caption="Sum of Treatment Cost"/>
    <pivotHierarchy dragToData="1" caption="Average of Treatment Cost"/>
    <pivotHierarchy dragToData="1" caption="Sum of Hospital Stay (Days)"/>
    <pivotHierarchy dragToData="1"/>
    <pivotHierarchy dragToData="1" caption="Average of Recovery Score"/>
    <pivotHierarchy dragToData="1"/>
    <pivotHierarchy dragToData="1"/>
    <pivotHierarchy dragToData="1" caption="Count of Treatment Cost"/>
    <pivotHierarchy dragToData="1"/>
    <pivotHierarchy dragToData="1"/>
    <pivotHierarchy dragToData="1"/>
    <pivotHierarchy dragToData="1"/>
    <pivotHierarchy dragToData="1"/>
    <pivotHierarchy dragToData="1" caption="Count of Recovery Score"/>
    <pivotHierarchy dragToData="1" caption="Min of Hospital Stay (Days)"/>
    <pivotHierarchy dragToData="1" caption="Distinct Count of Hospital Stay (Days)"/>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rrent_DB_Working.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6470EAB6-A84A-46A2-A8A8-C0AA18842FBA}" name="PivotTable25" cacheId="1487"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23">
  <location ref="B87:C90"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3">
    <i>
      <x/>
    </i>
    <i>
      <x v="1"/>
    </i>
    <i>
      <x v="2"/>
    </i>
  </rowItems>
  <colItems count="1">
    <i/>
  </colItems>
  <dataFields count="1">
    <dataField name="Count of Patient ID" fld="1" subtotal="count" baseField="0" baseItem="0"/>
  </dataFields>
  <formats count="3">
    <format dxfId="1355">
      <pivotArea type="all" dataOnly="0" outline="0" fieldPosition="0"/>
    </format>
    <format dxfId="1354">
      <pivotArea outline="0" collapsedLevelsAreSubtotals="1" fieldPosition="0"/>
    </format>
    <format dxfId="1353">
      <pivotArea dataOnly="0" labelOnly="1" outline="0" axis="axisValues" fieldPosition="0"/>
    </format>
  </formats>
  <pivotHierarchies count="34">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Age"/>
    <pivotHierarchy dragToData="1" caption="Sum of Treatment Cost"/>
    <pivotHierarchy dragToData="1" caption="Average of Treatment Cost"/>
    <pivotHierarchy dragToData="1" caption="Sum of Hospital Stay (Days)"/>
    <pivotHierarchy dragToData="1"/>
    <pivotHierarchy dragToData="1" caption="Average of Recovery Score"/>
    <pivotHierarchy dragToData="1"/>
    <pivotHierarchy dragToData="1"/>
    <pivotHierarchy dragToData="1" caption="Count of Treatment Cost"/>
    <pivotHierarchy dragToData="1"/>
    <pivotHierarchy dragToData="1" caption="Max of Treatment Cost"/>
    <pivotHierarchy dragToData="1"/>
    <pivotHierarchy dragToData="1"/>
    <pivotHierarchy dragToData="1"/>
    <pivotHierarchy dragToData="1" caption="Count of Recovery Score"/>
    <pivotHierarchy dragToData="1" caption="Min of Hospital Stay (Days)"/>
    <pivotHierarchy dragToData="1" caption="Distinct Count of Hospital Stay (Days)"/>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rrent_DB_Working.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8427BECF-CF9B-4638-B8AB-9751DE673021}" name="PivotTable35" cacheId="1502"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43">
  <location ref="B126:C132"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x v="5"/>
    </i>
  </rowItems>
  <colItems count="1">
    <i/>
  </colItems>
  <dataFields count="1">
    <dataField name="Count of Patient ID" fld="1" subtotal="count" baseField="0" baseItem="0"/>
  </dataFields>
  <formats count="4">
    <format dxfId="1359">
      <pivotArea type="all" dataOnly="0" outline="0" fieldPosition="0"/>
    </format>
    <format dxfId="1358">
      <pivotArea outline="0" collapsedLevelsAreSubtotals="1" fieldPosition="0"/>
    </format>
    <format dxfId="1357">
      <pivotArea dataOnly="0" labelOnly="1" outline="0" axis="axisValues" fieldPosition="0"/>
    </format>
    <format dxfId="1356">
      <pivotArea outline="0" collapsedLevelsAreSubtotals="1" fieldPosition="0"/>
    </format>
  </formats>
  <chartFormats count="16">
    <chartFormat chart="29" format="0" series="1">
      <pivotArea type="data" outline="0" fieldPosition="0">
        <references count="1">
          <reference field="4294967294" count="1" selected="0">
            <x v="0"/>
          </reference>
        </references>
      </pivotArea>
    </chartFormat>
    <chartFormat chart="32" format="43" series="1">
      <pivotArea type="data" outline="0" fieldPosition="0">
        <references count="1">
          <reference field="4294967294" count="1" selected="0">
            <x v="0"/>
          </reference>
        </references>
      </pivotArea>
    </chartFormat>
    <chartFormat chart="32" format="44">
      <pivotArea type="data" outline="0" fieldPosition="0">
        <references count="2">
          <reference field="4294967294" count="1" selected="0">
            <x v="0"/>
          </reference>
          <reference field="0" count="1" selected="0">
            <x v="0"/>
          </reference>
        </references>
      </pivotArea>
    </chartFormat>
    <chartFormat chart="32" format="45">
      <pivotArea type="data" outline="0" fieldPosition="0">
        <references count="2">
          <reference field="4294967294" count="1" selected="0">
            <x v="0"/>
          </reference>
          <reference field="0" count="1" selected="0">
            <x v="1"/>
          </reference>
        </references>
      </pivotArea>
    </chartFormat>
    <chartFormat chart="32" format="46">
      <pivotArea type="data" outline="0" fieldPosition="0">
        <references count="2">
          <reference field="4294967294" count="1" selected="0">
            <x v="0"/>
          </reference>
          <reference field="0" count="1" selected="0">
            <x v="2"/>
          </reference>
        </references>
      </pivotArea>
    </chartFormat>
    <chartFormat chart="32" format="47">
      <pivotArea type="data" outline="0" fieldPosition="0">
        <references count="2">
          <reference field="4294967294" count="1" selected="0">
            <x v="0"/>
          </reference>
          <reference field="0" count="1" selected="0">
            <x v="3"/>
          </reference>
        </references>
      </pivotArea>
    </chartFormat>
    <chartFormat chart="32" format="48">
      <pivotArea type="data" outline="0" fieldPosition="0">
        <references count="2">
          <reference field="4294967294" count="1" selected="0">
            <x v="0"/>
          </reference>
          <reference field="0" count="1" selected="0">
            <x v="4"/>
          </reference>
        </references>
      </pivotArea>
    </chartFormat>
    <chartFormat chart="32" format="49">
      <pivotArea type="data" outline="0" fieldPosition="0">
        <references count="2">
          <reference field="4294967294" count="1" selected="0">
            <x v="0"/>
          </reference>
          <reference field="0" count="1" selected="0">
            <x v="5"/>
          </reference>
        </references>
      </pivotArea>
    </chartFormat>
    <chartFormat chart="35" format="57" series="1">
      <pivotArea type="data" outline="0" fieldPosition="0">
        <references count="1">
          <reference field="4294967294" count="1" selected="0">
            <x v="0"/>
          </reference>
        </references>
      </pivotArea>
    </chartFormat>
    <chartFormat chart="35" format="58">
      <pivotArea type="data" outline="0" fieldPosition="0">
        <references count="2">
          <reference field="4294967294" count="1" selected="0">
            <x v="0"/>
          </reference>
          <reference field="0" count="1" selected="0">
            <x v="0"/>
          </reference>
        </references>
      </pivotArea>
    </chartFormat>
    <chartFormat chart="35" format="59">
      <pivotArea type="data" outline="0" fieldPosition="0">
        <references count="2">
          <reference field="4294967294" count="1" selected="0">
            <x v="0"/>
          </reference>
          <reference field="0" count="1" selected="0">
            <x v="1"/>
          </reference>
        </references>
      </pivotArea>
    </chartFormat>
    <chartFormat chart="35" format="60">
      <pivotArea type="data" outline="0" fieldPosition="0">
        <references count="2">
          <reference field="4294967294" count="1" selected="0">
            <x v="0"/>
          </reference>
          <reference field="0" count="1" selected="0">
            <x v="2"/>
          </reference>
        </references>
      </pivotArea>
    </chartFormat>
    <chartFormat chart="35" format="61">
      <pivotArea type="data" outline="0" fieldPosition="0">
        <references count="2">
          <reference field="4294967294" count="1" selected="0">
            <x v="0"/>
          </reference>
          <reference field="0" count="1" selected="0">
            <x v="3"/>
          </reference>
        </references>
      </pivotArea>
    </chartFormat>
    <chartFormat chart="35" format="62">
      <pivotArea type="data" outline="0" fieldPosition="0">
        <references count="2">
          <reference field="4294967294" count="1" selected="0">
            <x v="0"/>
          </reference>
          <reference field="0" count="1" selected="0">
            <x v="4"/>
          </reference>
        </references>
      </pivotArea>
    </chartFormat>
    <chartFormat chart="35" format="63">
      <pivotArea type="data" outline="0" fieldPosition="0">
        <references count="2">
          <reference field="4294967294" count="1" selected="0">
            <x v="0"/>
          </reference>
          <reference field="0" count="1" selected="0">
            <x v="5"/>
          </reference>
        </references>
      </pivotArea>
    </chartFormat>
    <chartFormat chart="42"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Age"/>
    <pivotHierarchy dragToData="1" caption="Sum of Treatment Cost"/>
    <pivotHierarchy dragToData="1" caption="Average of Treatment Cost"/>
    <pivotHierarchy dragToData="1" caption="Sum of Hospital Stay (Days)"/>
    <pivotHierarchy dragToData="1"/>
    <pivotHierarchy dragToData="1" caption="Average of Recovery Score"/>
    <pivotHierarchy dragToData="1"/>
    <pivotHierarchy dragToData="1"/>
    <pivotHierarchy dragToData="1" caption="Count of Treatment Cost"/>
    <pivotHierarchy dragToData="1"/>
    <pivotHierarchy dragToData="1" caption="Max of Treatment Cost"/>
    <pivotHierarchy dragToData="1"/>
    <pivotHierarchy dragToData="1"/>
    <pivotHierarchy dragToData="1"/>
    <pivotHierarchy dragToData="1" caption="Count of Recovery Score"/>
    <pivotHierarchy dragToData="1" caption="Min of Hospital Stay (Days)"/>
    <pivotHierarchy dragToData="1" caption="Distinct Count of Hospital Stay (Days)"/>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rrent_DB_Working.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905C0A9-FA34-4DA2-B214-A4D21D60CEE8}" sourceName="[Table2].[Gender]">
  <pivotTables>
    <pivotTable tabId="2" name="PivotTable13"/>
    <pivotTable tabId="2" name="PivotTable1"/>
    <pivotTable tabId="2" name="PivotTable10"/>
    <pivotTable tabId="2" name="PivotTable11"/>
    <pivotTable tabId="2" name="PivotTable12"/>
    <pivotTable tabId="2" name="PivotTable14"/>
    <pivotTable tabId="2" name="PivotTable15"/>
    <pivotTable tabId="2" name="PivotTable2"/>
    <pivotTable tabId="2" name="PivotTable4"/>
    <pivotTable tabId="2" name="PivotTable5"/>
    <pivotTable tabId="2" name="PivotTable6"/>
    <pivotTable tabId="2" name="PivotTable7"/>
    <pivotTable tabId="2" name="PivotTable9"/>
    <pivotTable tabId="2" name="PivotTable25"/>
    <pivotTable tabId="2" name="PivotTable26"/>
    <pivotTable tabId="2" name="PivotTable27"/>
    <pivotTable tabId="2" name="PivotTable28"/>
    <pivotTable tabId="2" name="PivotTable29"/>
    <pivotTable tabId="2" name="PivotTable35"/>
  </pivotTables>
  <data>
    <olap pivotCacheId="653936299">
      <levels count="2">
        <level uniqueName="[Table2].[Gender].[(All)]" sourceCaption="(All)" count="0"/>
        <level uniqueName="[Table2].[Gender].[Gender]" sourceCaption="Gender" count="3" sortOrder="ascending">
          <ranges>
            <range startItem="0">
              <i n="[Table2].[Gender].&amp;[Female]" c="Female"/>
              <i n="[Table2].[Gender].&amp;[Male]" c="Male"/>
              <i n="[Table2].[Gender].&amp;[Other]" c="Other"/>
            </range>
          </ranges>
        </level>
      </levels>
      <selections count="1">
        <selection n="[Table2].[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42C06D7-F7A5-47A2-A924-A9E051D83988}" sourceName="[Table2].[Department]">
  <pivotTables>
    <pivotTable tabId="2" name="PivotTable13"/>
    <pivotTable tabId="2" name="PivotTable1"/>
    <pivotTable tabId="2" name="PivotTable10"/>
    <pivotTable tabId="2" name="PivotTable11"/>
    <pivotTable tabId="2" name="PivotTable12"/>
    <pivotTable tabId="2" name="PivotTable14"/>
    <pivotTable tabId="2" name="PivotTable15"/>
    <pivotTable tabId="2" name="PivotTable2"/>
    <pivotTable tabId="2" name="PivotTable4"/>
    <pivotTable tabId="2" name="PivotTable5"/>
    <pivotTable tabId="2" name="PivotTable6"/>
    <pivotTable tabId="2" name="PivotTable7"/>
    <pivotTable tabId="2" name="PivotTable9"/>
    <pivotTable tabId="2" name="PivotTable25"/>
    <pivotTable tabId="2" name="PivotTable26"/>
    <pivotTable tabId="2" name="PivotTable27"/>
    <pivotTable tabId="2" name="PivotTable28"/>
    <pivotTable tabId="2" name="PivotTable29"/>
    <pivotTable tabId="2" name="PivotTable35"/>
  </pivotTables>
  <data>
    <olap pivotCacheId="653936299">
      <levels count="2">
        <level uniqueName="[Table2].[Department].[(All)]" sourceCaption="(All)" count="0"/>
        <level uniqueName="[Table2].[Department].[Department]" sourceCaption="Department" count="6" sortOrder="ascending">
          <ranges>
            <range startItem="0">
              <i n="[Table2].[Department].&amp;[Cardiology]" c="Cardiology"/>
              <i n="[Table2].[Department].&amp;[Gastroenterology]" c="Gastroenterology"/>
              <i n="[Table2].[Department].&amp;[Neurology]" c="Neurology"/>
              <i n="[Table2].[Department].&amp;[Oncology]" c="Oncology"/>
              <i n="[Table2].[Department].&amp;[Orthopedics]" c="Orthopedics"/>
              <i n="[Table2].[Department].&amp;[Pediatrics]" c="Pediatrics"/>
            </range>
          </ranges>
        </level>
      </levels>
      <selections count="1">
        <selection n="[Table2].[Depart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eatment_Type" xr10:uid="{96CB5180-EDF3-45CB-84E3-667B10DB7291}" sourceName="[Table2].[Treatment Type]">
  <pivotTables>
    <pivotTable tabId="2" name="PivotTable13"/>
    <pivotTable tabId="2" name="PivotTable1"/>
    <pivotTable tabId="2" name="PivotTable10"/>
    <pivotTable tabId="2" name="PivotTable11"/>
    <pivotTable tabId="2" name="PivotTable12"/>
    <pivotTable tabId="2" name="PivotTable14"/>
    <pivotTable tabId="2" name="PivotTable15"/>
    <pivotTable tabId="2" name="PivotTable2"/>
    <pivotTable tabId="2" name="PivotTable4"/>
    <pivotTable tabId="2" name="PivotTable5"/>
    <pivotTable tabId="2" name="PivotTable6"/>
    <pivotTable tabId="2" name="PivotTable7"/>
    <pivotTable tabId="2" name="PivotTable9"/>
    <pivotTable tabId="2" name="PivotTable25"/>
    <pivotTable tabId="2" name="PivotTable26"/>
    <pivotTable tabId="2" name="PivotTable27"/>
    <pivotTable tabId="2" name="PivotTable28"/>
    <pivotTable tabId="2" name="PivotTable29"/>
    <pivotTable tabId="2" name="PivotTable35"/>
  </pivotTables>
  <data>
    <olap pivotCacheId="653936299">
      <levels count="2">
        <level uniqueName="[Table2].[Treatment Type].[(All)]" sourceCaption="(All)" count="0"/>
        <level uniqueName="[Table2].[Treatment Type].[Treatment Type]" sourceCaption="Treatment Type" count="4" sortOrder="ascending">
          <ranges>
            <range startItem="0">
              <i n="[Table2].[Treatment Type].&amp;[Medication]" c="Medication"/>
              <i n="[Table2].[Treatment Type].&amp;[Observation]" c="Observation"/>
              <i n="[Table2].[Treatment Type].&amp;[Surgery]" c="Surgery"/>
              <i n="[Table2].[Treatment Type].&amp;[Therapy]" c="Therapy"/>
            </range>
          </ranges>
        </level>
      </levels>
      <selections count="1">
        <selection n="[Table2].[Treatment Typ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octor_Name" xr10:uid="{D61BF7A1-08ED-48D9-BABD-6C55AA4B15D8}" sourceName="[Table2].[Doctor Name]">
  <pivotTables>
    <pivotTable tabId="2" name="PivotTable13"/>
    <pivotTable tabId="2" name="PivotTable1"/>
    <pivotTable tabId="2" name="PivotTable10"/>
    <pivotTable tabId="2" name="PivotTable11"/>
    <pivotTable tabId="2" name="PivotTable12"/>
    <pivotTable tabId="2" name="PivotTable14"/>
    <pivotTable tabId="2" name="PivotTable15"/>
    <pivotTable tabId="2" name="PivotTable2"/>
    <pivotTable tabId="2" name="PivotTable4"/>
    <pivotTable tabId="2" name="PivotTable5"/>
    <pivotTable tabId="2" name="PivotTable6"/>
    <pivotTable tabId="2" name="PivotTable7"/>
    <pivotTable tabId="2" name="PivotTable9"/>
    <pivotTable tabId="2" name="PivotTable25"/>
    <pivotTable tabId="2" name="PivotTable26"/>
    <pivotTable tabId="2" name="PivotTable27"/>
    <pivotTable tabId="2" name="PivotTable28"/>
    <pivotTable tabId="2" name="PivotTable29"/>
    <pivotTable tabId="2" name="PivotTable35"/>
  </pivotTables>
  <data>
    <olap pivotCacheId="653936299">
      <levels count="2">
        <level uniqueName="[Table2].[Doctor Name].[(All)]" sourceCaption="(All)" count="0"/>
        <level uniqueName="[Table2].[Doctor Name].[Doctor Name]" sourceCaption="Doctor Name" count="5" sortOrder="ascending">
          <ranges>
            <range startItem="0">
              <i n="[Table2].[Doctor Name].&amp;[Dr. A. Sharma]" c="Dr. A. Sharma"/>
              <i n="[Table2].[Doctor Name].&amp;[Dr. L. Khan]" c="Dr. L. Khan"/>
              <i n="[Table2].[Doctor Name].&amp;[Dr. M. Patel]" c="Dr. M. Patel"/>
              <i n="[Table2].[Doctor Name].&amp;[Dr. R. Singh]" c="Dr. R. Singh"/>
              <i n="[Table2].[Doctor Name].&amp;[Dr. T. Mehta]" c="Dr. T. Mehta"/>
            </range>
          </ranges>
        </level>
      </levels>
      <selections count="1">
        <selection n="[Table2].[Doctor Nam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6999DFE0-7502-4E45-AD06-B1629D22AA38}" sourceName="[Table2].[Age Group]">
  <pivotTables>
    <pivotTable tabId="2" name="PivotTable35"/>
  </pivotTables>
  <data>
    <olap pivotCacheId="1396272944">
      <levels count="2">
        <level uniqueName="[Table2].[Age Group].[(All)]" sourceCaption="(All)" count="0"/>
        <level uniqueName="[Table2].[Age Group].[Age Group]" sourceCaption="Age Group" count="6" sortOrder="ascending">
          <ranges>
            <range startItem="0">
              <i n="[Table2].[Age Group].&amp;[Adult]" c="Adult"/>
              <i n="[Table2].[Age Group].&amp;[Child]" c="Child"/>
              <i n="[Table2].[Age Group].&amp;[Middle-aged Adult]" c="Middle-aged Adult"/>
              <i n="[Table2].[Age Group].&amp;[Senior Citizen/Elderly]" c="Senior Citizen/Elderly"/>
              <i n="[Table2].[Age Group].&amp;[Teenager/Adolescent]" c="Teenager/Adolescent"/>
              <i n="[Table2].[Age Group].&amp;[Young Adult]" c="Young Adult"/>
            </range>
          </ranges>
        </level>
      </levels>
      <selections count="1">
        <selection n="[Table2].[Age Group].[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B4E48B52-C1E7-40F1-BA02-545D7AFD0687}" cache="Slicer_Gender" caption="Gender" showCaption="0" level="1" style="SlicerStyleDark2" rowHeight="234950"/>
  <slicer name="Department" xr10:uid="{556553C0-8294-47EF-8CA9-DDA8A8C0FE89}" cache="Slicer_Department" caption="Department" level="1" style="SlicerStyleDark2 2" rowHeight="234950"/>
  <slicer name="Treatment Type" xr10:uid="{BB1E3848-17EF-4A0E-8C31-9396B004ED03}" cache="Slicer_Treatment_Type" caption="Treatment Type" level="1" style="SlicerStyleDark2 2" rowHeight="234950"/>
  <slicer name="Doctor Name" xr10:uid="{CC2CEB61-C6D3-42D1-B2DB-C8BF4739B05D}" cache="Slicer_Doctor_Name" caption="Doctor Name" level="1" style="SlicerStyleDark2 2" rowHeight="234950"/>
  <slicer name="Age Group" xr10:uid="{18353B99-2464-4639-B481-A1A6EB20C0E3}" cache="Slicer_Age_Group" caption="Age Group" showCaption="0"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DC08023A-E6A5-41CD-9B98-3B5D3C9111B6}" cache="Slicer_Gender" caption="Gender" startItem="1" showCaption="0" level="1" style="SlicerStyleDark2" rowHeight="234950"/>
  <slicer name="Department 1" xr10:uid="{68664178-7052-4FA0-B65E-CB43C16DD2B2}" cache="Slicer_Department" caption="Department" showCaption="0" level="1" style="SlicerStyleDark2 2" rowHeight="234950"/>
  <slicer name="Treatment Type 1" xr10:uid="{8E28D6A5-7980-4F1B-8458-364412E9244B}" cache="Slicer_Treatment_Type" caption="Treatment Type" showCaption="0" level="1" style="SlicerStyleDark2 2" rowHeight="234950"/>
  <slicer name="Doctor Name 1" xr10:uid="{FAD8FF55-FAE9-45AC-82B1-A9DD16C3B176}" cache="Slicer_Doctor_Name" caption="Doctor Name" showCaption="0" level="1" style="SlicerStyleDark2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D90FAF3-5F83-47A8-AC40-8BDAB45E2C18}" name="Table1" displayName="Table1" ref="A1:J201" totalsRowShown="0" headerRowDxfId="1372" dataDxfId="1371" tableBorderDxfId="1370">
  <autoFilter ref="A1:J201" xr:uid="{1D90FAF3-5F83-47A8-AC40-8BDAB45E2C18}"/>
  <tableColumns count="10">
    <tableColumn id="1" xr3:uid="{C3FD74C0-96E2-4E9C-A4F0-0C549A74F507}" name="Patient ID" dataDxfId="1369"/>
    <tableColumn id="2" xr3:uid="{52E7C24B-7BDE-4234-A3F1-6705EBBA298D}" name="Department" dataDxfId="1368"/>
    <tableColumn id="3" xr3:uid="{7B111355-61D9-4201-9E89-4419AF828511}" name="Treatment Type" dataDxfId="1367"/>
    <tableColumn id="4" xr3:uid="{1A744C71-C94A-4798-A787-6BE1FD27ED09}" name="Doctor Name" dataDxfId="1366"/>
    <tableColumn id="5" xr3:uid="{696526D6-D7B7-453D-9B24-C70E2C814CD5}" name="Gender" dataDxfId="1365"/>
    <tableColumn id="6" xr3:uid="{EA6EE5C6-8178-42C4-BFE4-9AE05FDE0348}" name="Age" dataDxfId="1364"/>
    <tableColumn id="7" xr3:uid="{17A7AF0A-A383-4F01-8A3A-014493F7E6C1}" name="Age Group" dataDxfId="1363">
      <calculatedColumnFormula>IF(F2&lt;=12,"Child",
IF(F2&lt;=19,"Teenager/Adolescent",
IF(F2&lt;=29,"Young Adult",
IF(F2&lt;=44,"Adult",
IF(F2&lt;=59,"Middle-aged Adult",
"Senior Citizen/Elderly")))))</calculatedColumnFormula>
    </tableColumn>
    <tableColumn id="8" xr3:uid="{E13D0FD4-4638-4064-8358-CF8C9450E66B}" name="Treatment Cost" dataDxfId="1362"/>
    <tableColumn id="9" xr3:uid="{200D6AF1-1671-42DE-8C2A-C48FD1612C51}" name="Hospital Stay (Days)" dataDxfId="1361"/>
    <tableColumn id="10" xr3:uid="{E4B5B3DE-758E-479F-ACAD-F5E88ED3F596}" name="Recovery Score" dataDxfId="136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0C1CB-E503-48C0-B47F-E779AD332A7C}">
  <dimension ref="A1:J201"/>
  <sheetViews>
    <sheetView workbookViewId="0">
      <selection activeCell="M8" sqref="M8"/>
    </sheetView>
  </sheetViews>
  <sheetFormatPr defaultRowHeight="14.4"/>
  <cols>
    <col min="1" max="1" width="11.109375" customWidth="1"/>
    <col min="2" max="2" width="13" customWidth="1"/>
    <col min="3" max="3" width="16.21875" customWidth="1"/>
    <col min="4" max="4" width="14" customWidth="1"/>
    <col min="5" max="5" width="9" customWidth="1"/>
    <col min="6" max="6" width="8.88671875" customWidth="1"/>
    <col min="7" max="7" width="19.109375" customWidth="1"/>
    <col min="8" max="8" width="15.77734375" customWidth="1"/>
    <col min="9" max="9" width="19.5546875" customWidth="1"/>
    <col min="10" max="10" width="15.88671875" customWidth="1"/>
  </cols>
  <sheetData>
    <row r="1" spans="1:10" s="1" customFormat="1">
      <c r="A1" s="11" t="s">
        <v>0</v>
      </c>
      <c r="B1" s="11" t="s">
        <v>1</v>
      </c>
      <c r="C1" s="11" t="s">
        <v>2</v>
      </c>
      <c r="D1" s="11" t="s">
        <v>3</v>
      </c>
      <c r="E1" s="11" t="s">
        <v>4</v>
      </c>
      <c r="F1" s="11" t="s">
        <v>5</v>
      </c>
      <c r="G1" s="11" t="s">
        <v>251</v>
      </c>
      <c r="H1" s="11" t="s">
        <v>6</v>
      </c>
      <c r="I1" s="11" t="s">
        <v>7</v>
      </c>
      <c r="J1" s="11" t="s">
        <v>8</v>
      </c>
    </row>
    <row r="2" spans="1:10">
      <c r="A2" s="9" t="s">
        <v>9</v>
      </c>
      <c r="B2" s="9" t="s">
        <v>10</v>
      </c>
      <c r="C2" s="9" t="s">
        <v>11</v>
      </c>
      <c r="D2" s="9" t="s">
        <v>12</v>
      </c>
      <c r="E2" s="9" t="s">
        <v>13</v>
      </c>
      <c r="F2" s="9">
        <v>12</v>
      </c>
      <c r="G2" s="9" t="str">
        <f t="shared" ref="G2:G33" si="0">IF(F2&lt;=12,"Child",
IF(F2&lt;=19,"Teenager/Adolescent",
IF(F2&lt;=29,"Young Adult",
IF(F2&lt;=44,"Adult",
IF(F2&lt;=59,"Middle-aged Adult",
"Senior Citizen/Elderly")))))</f>
        <v>Child</v>
      </c>
      <c r="H2" s="13">
        <v>68632.97</v>
      </c>
      <c r="I2" s="9">
        <v>21</v>
      </c>
      <c r="J2" s="9">
        <v>82</v>
      </c>
    </row>
    <row r="3" spans="1:10">
      <c r="A3" s="10" t="s">
        <v>14</v>
      </c>
      <c r="B3" s="10" t="s">
        <v>15</v>
      </c>
      <c r="C3" s="10" t="s">
        <v>16</v>
      </c>
      <c r="D3" s="10" t="s">
        <v>17</v>
      </c>
      <c r="E3" s="10" t="s">
        <v>18</v>
      </c>
      <c r="F3" s="10">
        <v>52</v>
      </c>
      <c r="G3" s="10" t="str">
        <f>IF(F3&lt;=12,"Child",
IF(F3&lt;=19,"Teenager/Adolescent",
IF(F3&lt;=29,"Young Adult",
IF(F3&lt;=44,"Adult",
IF(F3&lt;=59,"Middle-aged Adult",
"Senior Citizen/Elderly")))))</f>
        <v>Middle-aged Adult</v>
      </c>
      <c r="H3" s="14">
        <v>10231.42</v>
      </c>
      <c r="I3" s="10">
        <v>20</v>
      </c>
      <c r="J3" s="10">
        <v>42</v>
      </c>
    </row>
    <row r="4" spans="1:10">
      <c r="A4" s="9" t="s">
        <v>19</v>
      </c>
      <c r="B4" s="9" t="s">
        <v>15</v>
      </c>
      <c r="C4" s="9" t="s">
        <v>11</v>
      </c>
      <c r="D4" s="9" t="s">
        <v>12</v>
      </c>
      <c r="E4" s="9" t="s">
        <v>18</v>
      </c>
      <c r="F4" s="9">
        <v>79</v>
      </c>
      <c r="G4" s="9" t="str">
        <f t="shared" si="0"/>
        <v>Senior Citizen/Elderly</v>
      </c>
      <c r="H4" s="13">
        <v>10160.24</v>
      </c>
      <c r="I4" s="9">
        <v>2</v>
      </c>
      <c r="J4" s="9">
        <v>72</v>
      </c>
    </row>
    <row r="5" spans="1:10">
      <c r="A5" s="10" t="s">
        <v>20</v>
      </c>
      <c r="B5" s="10" t="s">
        <v>15</v>
      </c>
      <c r="C5" s="10" t="s">
        <v>11</v>
      </c>
      <c r="D5" s="10" t="s">
        <v>12</v>
      </c>
      <c r="E5" s="10" t="s">
        <v>13</v>
      </c>
      <c r="F5" s="10">
        <v>23</v>
      </c>
      <c r="G5" s="10" t="str">
        <f t="shared" si="0"/>
        <v>Young Adult</v>
      </c>
      <c r="H5" s="14">
        <v>103508.96</v>
      </c>
      <c r="I5" s="10">
        <v>20</v>
      </c>
      <c r="J5" s="10">
        <v>50</v>
      </c>
    </row>
    <row r="6" spans="1:10">
      <c r="A6" s="9" t="s">
        <v>21</v>
      </c>
      <c r="B6" s="9" t="s">
        <v>22</v>
      </c>
      <c r="C6" s="9" t="s">
        <v>16</v>
      </c>
      <c r="D6" s="9" t="s">
        <v>23</v>
      </c>
      <c r="E6" s="9" t="s">
        <v>13</v>
      </c>
      <c r="F6" s="9">
        <v>7</v>
      </c>
      <c r="G6" s="9" t="str">
        <f t="shared" si="0"/>
        <v>Child</v>
      </c>
      <c r="H6" s="13">
        <v>143427.51999999999</v>
      </c>
      <c r="I6" s="9">
        <v>6</v>
      </c>
      <c r="J6" s="9">
        <v>43</v>
      </c>
    </row>
    <row r="7" spans="1:10">
      <c r="A7" s="10" t="s">
        <v>24</v>
      </c>
      <c r="B7" s="10" t="s">
        <v>25</v>
      </c>
      <c r="C7" s="10" t="s">
        <v>16</v>
      </c>
      <c r="D7" s="10" t="s">
        <v>26</v>
      </c>
      <c r="E7" s="10" t="s">
        <v>13</v>
      </c>
      <c r="F7" s="10">
        <v>78</v>
      </c>
      <c r="G7" s="10" t="str">
        <f t="shared" si="0"/>
        <v>Senior Citizen/Elderly</v>
      </c>
      <c r="H7" s="14">
        <v>146252.19</v>
      </c>
      <c r="I7" s="10">
        <v>9</v>
      </c>
      <c r="J7" s="10">
        <v>41</v>
      </c>
    </row>
    <row r="8" spans="1:10">
      <c r="A8" s="9" t="s">
        <v>27</v>
      </c>
      <c r="B8" s="9" t="s">
        <v>25</v>
      </c>
      <c r="C8" s="9" t="s">
        <v>28</v>
      </c>
      <c r="D8" s="9" t="s">
        <v>17</v>
      </c>
      <c r="E8" s="9" t="s">
        <v>29</v>
      </c>
      <c r="F8" s="9">
        <v>30</v>
      </c>
      <c r="G8" s="9" t="str">
        <f t="shared" si="0"/>
        <v>Adult</v>
      </c>
      <c r="H8" s="13">
        <v>54393.48</v>
      </c>
      <c r="I8" s="9">
        <v>1</v>
      </c>
      <c r="J8" s="9">
        <v>42</v>
      </c>
    </row>
    <row r="9" spans="1:10">
      <c r="A9" s="10" t="s">
        <v>30</v>
      </c>
      <c r="B9" s="10" t="s">
        <v>31</v>
      </c>
      <c r="C9" s="10" t="s">
        <v>28</v>
      </c>
      <c r="D9" s="10" t="s">
        <v>32</v>
      </c>
      <c r="E9" s="10" t="s">
        <v>29</v>
      </c>
      <c r="F9" s="10">
        <v>68</v>
      </c>
      <c r="G9" s="10" t="str">
        <f t="shared" si="0"/>
        <v>Senior Citizen/Elderly</v>
      </c>
      <c r="H9" s="14">
        <v>30452.22</v>
      </c>
      <c r="I9" s="10">
        <v>6</v>
      </c>
      <c r="J9" s="10">
        <v>77</v>
      </c>
    </row>
    <row r="10" spans="1:10">
      <c r="A10" s="9" t="s">
        <v>33</v>
      </c>
      <c r="B10" s="9" t="s">
        <v>10</v>
      </c>
      <c r="C10" s="9" t="s">
        <v>28</v>
      </c>
      <c r="D10" s="9" t="s">
        <v>12</v>
      </c>
      <c r="E10" s="9" t="s">
        <v>29</v>
      </c>
      <c r="F10" s="9">
        <v>41</v>
      </c>
      <c r="G10" s="9" t="str">
        <f t="shared" si="0"/>
        <v>Adult</v>
      </c>
      <c r="H10" s="13">
        <v>79517.25</v>
      </c>
      <c r="I10" s="9">
        <v>9</v>
      </c>
      <c r="J10" s="9">
        <v>62</v>
      </c>
    </row>
    <row r="11" spans="1:10">
      <c r="A11" s="10" t="s">
        <v>34</v>
      </c>
      <c r="B11" s="10" t="s">
        <v>15</v>
      </c>
      <c r="C11" s="10" t="s">
        <v>16</v>
      </c>
      <c r="D11" s="10" t="s">
        <v>23</v>
      </c>
      <c r="E11" s="10" t="s">
        <v>29</v>
      </c>
      <c r="F11" s="10">
        <v>56</v>
      </c>
      <c r="G11" s="10" t="str">
        <f t="shared" si="0"/>
        <v>Middle-aged Adult</v>
      </c>
      <c r="H11" s="14">
        <v>116558.38</v>
      </c>
      <c r="I11" s="10">
        <v>24</v>
      </c>
      <c r="J11" s="10">
        <v>48</v>
      </c>
    </row>
    <row r="12" spans="1:10">
      <c r="A12" s="9" t="s">
        <v>35</v>
      </c>
      <c r="B12" s="9" t="s">
        <v>36</v>
      </c>
      <c r="C12" s="9" t="s">
        <v>16</v>
      </c>
      <c r="D12" s="9" t="s">
        <v>23</v>
      </c>
      <c r="E12" s="9" t="s">
        <v>13</v>
      </c>
      <c r="F12" s="9">
        <v>24</v>
      </c>
      <c r="G12" s="9" t="str">
        <f t="shared" si="0"/>
        <v>Young Adult</v>
      </c>
      <c r="H12" s="13">
        <v>135883.74</v>
      </c>
      <c r="I12" s="9">
        <v>15</v>
      </c>
      <c r="J12" s="9">
        <v>54</v>
      </c>
    </row>
    <row r="13" spans="1:10">
      <c r="A13" s="10" t="s">
        <v>37</v>
      </c>
      <c r="B13" s="10" t="s">
        <v>15</v>
      </c>
      <c r="C13" s="10" t="s">
        <v>28</v>
      </c>
      <c r="D13" s="10" t="s">
        <v>17</v>
      </c>
      <c r="E13" s="10" t="s">
        <v>13</v>
      </c>
      <c r="F13" s="10">
        <v>62</v>
      </c>
      <c r="G13" s="10" t="str">
        <f t="shared" si="0"/>
        <v>Senior Citizen/Elderly</v>
      </c>
      <c r="H13" s="14">
        <v>148179.98000000001</v>
      </c>
      <c r="I13" s="10">
        <v>11</v>
      </c>
      <c r="J13" s="10">
        <v>87</v>
      </c>
    </row>
    <row r="14" spans="1:10">
      <c r="A14" s="9" t="s">
        <v>38</v>
      </c>
      <c r="B14" s="9" t="s">
        <v>25</v>
      </c>
      <c r="C14" s="9" t="s">
        <v>28</v>
      </c>
      <c r="D14" s="9" t="s">
        <v>32</v>
      </c>
      <c r="E14" s="9" t="s">
        <v>13</v>
      </c>
      <c r="F14" s="9">
        <v>65</v>
      </c>
      <c r="G14" s="9" t="str">
        <f t="shared" si="0"/>
        <v>Senior Citizen/Elderly</v>
      </c>
      <c r="H14" s="13">
        <v>20591.650000000001</v>
      </c>
      <c r="I14" s="9">
        <v>28</v>
      </c>
      <c r="J14" s="9">
        <v>52</v>
      </c>
    </row>
    <row r="15" spans="1:10">
      <c r="A15" s="10" t="s">
        <v>39</v>
      </c>
      <c r="B15" s="10" t="s">
        <v>10</v>
      </c>
      <c r="C15" s="10" t="s">
        <v>28</v>
      </c>
      <c r="D15" s="10" t="s">
        <v>12</v>
      </c>
      <c r="E15" s="10" t="s">
        <v>13</v>
      </c>
      <c r="F15" s="10">
        <v>13</v>
      </c>
      <c r="G15" s="10" t="str">
        <f t="shared" si="0"/>
        <v>Teenager/Adolescent</v>
      </c>
      <c r="H15" s="14">
        <v>59149.07</v>
      </c>
      <c r="I15" s="10">
        <v>19</v>
      </c>
      <c r="J15" s="10">
        <v>86</v>
      </c>
    </row>
    <row r="16" spans="1:10">
      <c r="A16" s="9" t="s">
        <v>40</v>
      </c>
      <c r="B16" s="9" t="s">
        <v>10</v>
      </c>
      <c r="C16" s="9" t="s">
        <v>41</v>
      </c>
      <c r="D16" s="9" t="s">
        <v>26</v>
      </c>
      <c r="E16" s="9" t="s">
        <v>18</v>
      </c>
      <c r="F16" s="9">
        <v>39</v>
      </c>
      <c r="G16" s="9" t="str">
        <f t="shared" si="0"/>
        <v>Adult</v>
      </c>
      <c r="H16" s="13">
        <v>59335.72</v>
      </c>
      <c r="I16" s="9">
        <v>28</v>
      </c>
      <c r="J16" s="9">
        <v>80</v>
      </c>
    </row>
    <row r="17" spans="1:10">
      <c r="A17" s="10" t="s">
        <v>42</v>
      </c>
      <c r="B17" s="10" t="s">
        <v>22</v>
      </c>
      <c r="C17" s="10" t="s">
        <v>16</v>
      </c>
      <c r="D17" s="10" t="s">
        <v>12</v>
      </c>
      <c r="E17" s="10" t="s">
        <v>18</v>
      </c>
      <c r="F17" s="10">
        <v>85</v>
      </c>
      <c r="G17" s="10" t="str">
        <f t="shared" si="0"/>
        <v>Senior Citizen/Elderly</v>
      </c>
      <c r="H17" s="14">
        <v>101936.34</v>
      </c>
      <c r="I17" s="10">
        <v>27</v>
      </c>
      <c r="J17" s="10">
        <v>99</v>
      </c>
    </row>
    <row r="18" spans="1:10">
      <c r="A18" s="9" t="s">
        <v>43</v>
      </c>
      <c r="B18" s="9" t="s">
        <v>22</v>
      </c>
      <c r="C18" s="9" t="s">
        <v>41</v>
      </c>
      <c r="D18" s="9" t="s">
        <v>12</v>
      </c>
      <c r="E18" s="9" t="s">
        <v>18</v>
      </c>
      <c r="F18" s="9">
        <v>52</v>
      </c>
      <c r="G18" s="9" t="str">
        <f t="shared" si="0"/>
        <v>Middle-aged Adult</v>
      </c>
      <c r="H18" s="13">
        <v>107481.12</v>
      </c>
      <c r="I18" s="9">
        <v>8</v>
      </c>
      <c r="J18" s="9">
        <v>93</v>
      </c>
    </row>
    <row r="19" spans="1:10">
      <c r="A19" s="10" t="s">
        <v>44</v>
      </c>
      <c r="B19" s="10" t="s">
        <v>36</v>
      </c>
      <c r="C19" s="10" t="s">
        <v>11</v>
      </c>
      <c r="D19" s="10" t="s">
        <v>23</v>
      </c>
      <c r="E19" s="10" t="s">
        <v>18</v>
      </c>
      <c r="F19" s="10">
        <v>25</v>
      </c>
      <c r="G19" s="10" t="str">
        <f t="shared" si="0"/>
        <v>Young Adult</v>
      </c>
      <c r="H19" s="14">
        <v>142574.53</v>
      </c>
      <c r="I19" s="10">
        <v>30</v>
      </c>
      <c r="J19" s="10">
        <v>99</v>
      </c>
    </row>
    <row r="20" spans="1:10">
      <c r="A20" s="9" t="s">
        <v>45</v>
      </c>
      <c r="B20" s="9" t="s">
        <v>15</v>
      </c>
      <c r="C20" s="9" t="s">
        <v>41</v>
      </c>
      <c r="D20" s="9" t="s">
        <v>23</v>
      </c>
      <c r="E20" s="9" t="s">
        <v>18</v>
      </c>
      <c r="F20" s="9">
        <v>1</v>
      </c>
      <c r="G20" s="9" t="str">
        <f t="shared" si="0"/>
        <v>Child</v>
      </c>
      <c r="H20" s="13">
        <v>43174.44</v>
      </c>
      <c r="I20" s="9">
        <v>24</v>
      </c>
      <c r="J20" s="9">
        <v>100</v>
      </c>
    </row>
    <row r="21" spans="1:10">
      <c r="A21" s="10" t="s">
        <v>46</v>
      </c>
      <c r="B21" s="10" t="s">
        <v>31</v>
      </c>
      <c r="C21" s="10" t="s">
        <v>16</v>
      </c>
      <c r="D21" s="10" t="s">
        <v>12</v>
      </c>
      <c r="E21" s="10" t="s">
        <v>13</v>
      </c>
      <c r="F21" s="10">
        <v>3</v>
      </c>
      <c r="G21" s="10" t="str">
        <f t="shared" si="0"/>
        <v>Child</v>
      </c>
      <c r="H21" s="14">
        <v>125171.58</v>
      </c>
      <c r="I21" s="10">
        <v>30</v>
      </c>
      <c r="J21" s="10">
        <v>89</v>
      </c>
    </row>
    <row r="22" spans="1:10">
      <c r="A22" s="9" t="s">
        <v>47</v>
      </c>
      <c r="B22" s="9" t="s">
        <v>15</v>
      </c>
      <c r="C22" s="9" t="s">
        <v>11</v>
      </c>
      <c r="D22" s="9" t="s">
        <v>26</v>
      </c>
      <c r="E22" s="9" t="s">
        <v>18</v>
      </c>
      <c r="F22" s="9">
        <v>31</v>
      </c>
      <c r="G22" s="9" t="str">
        <f t="shared" si="0"/>
        <v>Adult</v>
      </c>
      <c r="H22" s="13">
        <v>51842.34</v>
      </c>
      <c r="I22" s="9">
        <v>15</v>
      </c>
      <c r="J22" s="9">
        <v>74</v>
      </c>
    </row>
    <row r="23" spans="1:10">
      <c r="A23" s="10" t="s">
        <v>48</v>
      </c>
      <c r="B23" s="10" t="s">
        <v>36</v>
      </c>
      <c r="C23" s="10" t="s">
        <v>11</v>
      </c>
      <c r="D23" s="10" t="s">
        <v>26</v>
      </c>
      <c r="E23" s="10" t="s">
        <v>18</v>
      </c>
      <c r="F23" s="10">
        <v>66</v>
      </c>
      <c r="G23" s="10" t="str">
        <f t="shared" si="0"/>
        <v>Senior Citizen/Elderly</v>
      </c>
      <c r="H23" s="14">
        <v>30547.73</v>
      </c>
      <c r="I23" s="10">
        <v>11</v>
      </c>
      <c r="J23" s="10">
        <v>47</v>
      </c>
    </row>
    <row r="24" spans="1:10">
      <c r="A24" s="9" t="s">
        <v>49</v>
      </c>
      <c r="B24" s="9" t="s">
        <v>22</v>
      </c>
      <c r="C24" s="9" t="s">
        <v>11</v>
      </c>
      <c r="D24" s="9" t="s">
        <v>32</v>
      </c>
      <c r="E24" s="9" t="s">
        <v>18</v>
      </c>
      <c r="F24" s="9">
        <v>68</v>
      </c>
      <c r="G24" s="9" t="str">
        <f t="shared" si="0"/>
        <v>Senior Citizen/Elderly</v>
      </c>
      <c r="H24" s="13">
        <v>68961.679999999993</v>
      </c>
      <c r="I24" s="9">
        <v>5</v>
      </c>
      <c r="J24" s="9">
        <v>67</v>
      </c>
    </row>
    <row r="25" spans="1:10">
      <c r="A25" s="10" t="s">
        <v>50</v>
      </c>
      <c r="B25" s="10" t="s">
        <v>36</v>
      </c>
      <c r="C25" s="10" t="s">
        <v>11</v>
      </c>
      <c r="D25" s="10" t="s">
        <v>32</v>
      </c>
      <c r="E25" s="10" t="s">
        <v>29</v>
      </c>
      <c r="F25" s="10">
        <v>75</v>
      </c>
      <c r="G25" s="10" t="str">
        <f t="shared" si="0"/>
        <v>Senior Citizen/Elderly</v>
      </c>
      <c r="H25" s="14">
        <v>89887.05</v>
      </c>
      <c r="I25" s="10">
        <v>28</v>
      </c>
      <c r="J25" s="10">
        <v>92</v>
      </c>
    </row>
    <row r="26" spans="1:10">
      <c r="A26" s="9" t="s">
        <v>51</v>
      </c>
      <c r="B26" s="9" t="s">
        <v>15</v>
      </c>
      <c r="C26" s="9" t="s">
        <v>16</v>
      </c>
      <c r="D26" s="9" t="s">
        <v>12</v>
      </c>
      <c r="E26" s="9" t="s">
        <v>18</v>
      </c>
      <c r="F26" s="9">
        <v>35</v>
      </c>
      <c r="G26" s="9" t="str">
        <f t="shared" si="0"/>
        <v>Adult</v>
      </c>
      <c r="H26" s="13">
        <v>54350.5</v>
      </c>
      <c r="I26" s="9">
        <v>24</v>
      </c>
      <c r="J26" s="9">
        <v>70</v>
      </c>
    </row>
    <row r="27" spans="1:10">
      <c r="A27" s="10" t="s">
        <v>52</v>
      </c>
      <c r="B27" s="10" t="s">
        <v>31</v>
      </c>
      <c r="C27" s="10" t="s">
        <v>11</v>
      </c>
      <c r="D27" s="10" t="s">
        <v>23</v>
      </c>
      <c r="E27" s="10" t="s">
        <v>18</v>
      </c>
      <c r="F27" s="10">
        <v>56</v>
      </c>
      <c r="G27" s="10" t="str">
        <f t="shared" si="0"/>
        <v>Middle-aged Adult</v>
      </c>
      <c r="H27" s="14">
        <v>47635.12</v>
      </c>
      <c r="I27" s="10">
        <v>3</v>
      </c>
      <c r="J27" s="10">
        <v>47</v>
      </c>
    </row>
    <row r="28" spans="1:10">
      <c r="A28" s="9" t="s">
        <v>53</v>
      </c>
      <c r="B28" s="9" t="s">
        <v>22</v>
      </c>
      <c r="C28" s="9" t="s">
        <v>41</v>
      </c>
      <c r="D28" s="9" t="s">
        <v>23</v>
      </c>
      <c r="E28" s="9" t="s">
        <v>29</v>
      </c>
      <c r="F28" s="9">
        <v>34</v>
      </c>
      <c r="G28" s="9" t="str">
        <f t="shared" si="0"/>
        <v>Adult</v>
      </c>
      <c r="H28" s="13">
        <v>136077.99</v>
      </c>
      <c r="I28" s="9">
        <v>25</v>
      </c>
      <c r="J28" s="9">
        <v>58</v>
      </c>
    </row>
    <row r="29" spans="1:10">
      <c r="A29" s="10" t="s">
        <v>54</v>
      </c>
      <c r="B29" s="10" t="s">
        <v>25</v>
      </c>
      <c r="C29" s="10" t="s">
        <v>11</v>
      </c>
      <c r="D29" s="10" t="s">
        <v>23</v>
      </c>
      <c r="E29" s="10" t="s">
        <v>18</v>
      </c>
      <c r="F29" s="10">
        <v>31</v>
      </c>
      <c r="G29" s="10" t="str">
        <f t="shared" si="0"/>
        <v>Adult</v>
      </c>
      <c r="H29" s="14">
        <v>103276.56</v>
      </c>
      <c r="I29" s="10">
        <v>30</v>
      </c>
      <c r="J29" s="10">
        <v>84</v>
      </c>
    </row>
    <row r="30" spans="1:10">
      <c r="A30" s="9" t="s">
        <v>55</v>
      </c>
      <c r="B30" s="9" t="s">
        <v>10</v>
      </c>
      <c r="C30" s="9" t="s">
        <v>41</v>
      </c>
      <c r="D30" s="9" t="s">
        <v>26</v>
      </c>
      <c r="E30" s="9" t="s">
        <v>18</v>
      </c>
      <c r="F30" s="9">
        <v>25</v>
      </c>
      <c r="G30" s="9" t="str">
        <f t="shared" si="0"/>
        <v>Young Adult</v>
      </c>
      <c r="H30" s="13">
        <v>38676.85</v>
      </c>
      <c r="I30" s="9">
        <v>9</v>
      </c>
      <c r="J30" s="9">
        <v>70</v>
      </c>
    </row>
    <row r="31" spans="1:10">
      <c r="A31" s="10" t="s">
        <v>56</v>
      </c>
      <c r="B31" s="10" t="s">
        <v>10</v>
      </c>
      <c r="C31" s="10" t="s">
        <v>41</v>
      </c>
      <c r="D31" s="10" t="s">
        <v>32</v>
      </c>
      <c r="E31" s="10" t="s">
        <v>29</v>
      </c>
      <c r="F31" s="10">
        <v>86</v>
      </c>
      <c r="G31" s="10" t="str">
        <f t="shared" si="0"/>
        <v>Senior Citizen/Elderly</v>
      </c>
      <c r="H31" s="14">
        <v>35788.22</v>
      </c>
      <c r="I31" s="10">
        <v>3</v>
      </c>
      <c r="J31" s="10">
        <v>66</v>
      </c>
    </row>
    <row r="32" spans="1:10">
      <c r="A32" s="9" t="s">
        <v>57</v>
      </c>
      <c r="B32" s="9" t="s">
        <v>36</v>
      </c>
      <c r="C32" s="9" t="s">
        <v>16</v>
      </c>
      <c r="D32" s="9" t="s">
        <v>12</v>
      </c>
      <c r="E32" s="9" t="s">
        <v>18</v>
      </c>
      <c r="F32" s="9">
        <v>79</v>
      </c>
      <c r="G32" s="9" t="str">
        <f t="shared" si="0"/>
        <v>Senior Citizen/Elderly</v>
      </c>
      <c r="H32" s="13">
        <v>140415.63</v>
      </c>
      <c r="I32" s="9">
        <v>16</v>
      </c>
      <c r="J32" s="9">
        <v>67</v>
      </c>
    </row>
    <row r="33" spans="1:10">
      <c r="A33" s="10" t="s">
        <v>58</v>
      </c>
      <c r="B33" s="10" t="s">
        <v>22</v>
      </c>
      <c r="C33" s="10" t="s">
        <v>41</v>
      </c>
      <c r="D33" s="10" t="s">
        <v>26</v>
      </c>
      <c r="E33" s="10" t="s">
        <v>18</v>
      </c>
      <c r="F33" s="10">
        <v>51</v>
      </c>
      <c r="G33" s="10" t="str">
        <f t="shared" si="0"/>
        <v>Middle-aged Adult</v>
      </c>
      <c r="H33" s="14">
        <v>143365.82999999999</v>
      </c>
      <c r="I33" s="10">
        <v>1</v>
      </c>
      <c r="J33" s="10">
        <v>58</v>
      </c>
    </row>
    <row r="34" spans="1:10">
      <c r="A34" s="9" t="s">
        <v>59</v>
      </c>
      <c r="B34" s="9" t="s">
        <v>10</v>
      </c>
      <c r="C34" s="9" t="s">
        <v>16</v>
      </c>
      <c r="D34" s="9" t="s">
        <v>17</v>
      </c>
      <c r="E34" s="9" t="s">
        <v>18</v>
      </c>
      <c r="F34" s="9">
        <v>1</v>
      </c>
      <c r="G34" s="9" t="str">
        <f t="shared" ref="G34:G65" si="1">IF(F34&lt;=12,"Child",
IF(F34&lt;=19,"Teenager/Adolescent",
IF(F34&lt;=29,"Young Adult",
IF(F34&lt;=44,"Adult",
IF(F34&lt;=59,"Middle-aged Adult",
"Senior Citizen/Elderly")))))</f>
        <v>Child</v>
      </c>
      <c r="H34" s="13">
        <v>101058.07</v>
      </c>
      <c r="I34" s="9">
        <v>4</v>
      </c>
      <c r="J34" s="9">
        <v>81</v>
      </c>
    </row>
    <row r="35" spans="1:10">
      <c r="A35" s="10" t="s">
        <v>60</v>
      </c>
      <c r="B35" s="10" t="s">
        <v>22</v>
      </c>
      <c r="C35" s="10" t="s">
        <v>11</v>
      </c>
      <c r="D35" s="10" t="s">
        <v>12</v>
      </c>
      <c r="E35" s="10" t="s">
        <v>29</v>
      </c>
      <c r="F35" s="10">
        <v>58</v>
      </c>
      <c r="G35" s="10" t="str">
        <f t="shared" si="1"/>
        <v>Middle-aged Adult</v>
      </c>
      <c r="H35" s="14">
        <v>41426.04</v>
      </c>
      <c r="I35" s="10">
        <v>6</v>
      </c>
      <c r="J35" s="10">
        <v>67</v>
      </c>
    </row>
    <row r="36" spans="1:10">
      <c r="A36" s="9" t="s">
        <v>61</v>
      </c>
      <c r="B36" s="9" t="s">
        <v>22</v>
      </c>
      <c r="C36" s="9" t="s">
        <v>28</v>
      </c>
      <c r="D36" s="9" t="s">
        <v>17</v>
      </c>
      <c r="E36" s="9" t="s">
        <v>13</v>
      </c>
      <c r="F36" s="9">
        <v>15</v>
      </c>
      <c r="G36" s="9" t="str">
        <f t="shared" si="1"/>
        <v>Teenager/Adolescent</v>
      </c>
      <c r="H36" s="13">
        <v>131454.59</v>
      </c>
      <c r="I36" s="9">
        <v>30</v>
      </c>
      <c r="J36" s="9">
        <v>83</v>
      </c>
    </row>
    <row r="37" spans="1:10">
      <c r="A37" s="10" t="s">
        <v>62</v>
      </c>
      <c r="B37" s="10" t="s">
        <v>10</v>
      </c>
      <c r="C37" s="10" t="s">
        <v>16</v>
      </c>
      <c r="D37" s="10" t="s">
        <v>32</v>
      </c>
      <c r="E37" s="10" t="s">
        <v>13</v>
      </c>
      <c r="F37" s="10">
        <v>5</v>
      </c>
      <c r="G37" s="10" t="str">
        <f t="shared" si="1"/>
        <v>Child</v>
      </c>
      <c r="H37" s="14">
        <v>48581.36</v>
      </c>
      <c r="I37" s="10">
        <v>16</v>
      </c>
      <c r="J37" s="10">
        <v>40</v>
      </c>
    </row>
    <row r="38" spans="1:10">
      <c r="A38" s="9" t="s">
        <v>63</v>
      </c>
      <c r="B38" s="9" t="s">
        <v>15</v>
      </c>
      <c r="C38" s="9" t="s">
        <v>11</v>
      </c>
      <c r="D38" s="9" t="s">
        <v>17</v>
      </c>
      <c r="E38" s="9" t="s">
        <v>13</v>
      </c>
      <c r="F38" s="9">
        <v>41</v>
      </c>
      <c r="G38" s="9" t="str">
        <f t="shared" si="1"/>
        <v>Adult</v>
      </c>
      <c r="H38" s="13">
        <v>143381.07</v>
      </c>
      <c r="I38" s="9">
        <v>1</v>
      </c>
      <c r="J38" s="9">
        <v>87</v>
      </c>
    </row>
    <row r="39" spans="1:10">
      <c r="A39" s="10" t="s">
        <v>64</v>
      </c>
      <c r="B39" s="10" t="s">
        <v>15</v>
      </c>
      <c r="C39" s="10" t="s">
        <v>11</v>
      </c>
      <c r="D39" s="10" t="s">
        <v>17</v>
      </c>
      <c r="E39" s="10" t="s">
        <v>18</v>
      </c>
      <c r="F39" s="10">
        <v>3</v>
      </c>
      <c r="G39" s="10" t="str">
        <f t="shared" si="1"/>
        <v>Child</v>
      </c>
      <c r="H39" s="14">
        <v>50045.440000000002</v>
      </c>
      <c r="I39" s="10">
        <v>15</v>
      </c>
      <c r="J39" s="10">
        <v>84</v>
      </c>
    </row>
    <row r="40" spans="1:10">
      <c r="A40" s="9" t="s">
        <v>65</v>
      </c>
      <c r="B40" s="9" t="s">
        <v>22</v>
      </c>
      <c r="C40" s="9" t="s">
        <v>11</v>
      </c>
      <c r="D40" s="9" t="s">
        <v>17</v>
      </c>
      <c r="E40" s="9" t="s">
        <v>29</v>
      </c>
      <c r="F40" s="9">
        <v>58</v>
      </c>
      <c r="G40" s="9" t="str">
        <f t="shared" si="1"/>
        <v>Middle-aged Adult</v>
      </c>
      <c r="H40" s="13">
        <v>86479.95</v>
      </c>
      <c r="I40" s="9">
        <v>1</v>
      </c>
      <c r="J40" s="9">
        <v>75</v>
      </c>
    </row>
    <row r="41" spans="1:10">
      <c r="A41" s="10" t="s">
        <v>66</v>
      </c>
      <c r="B41" s="10" t="s">
        <v>15</v>
      </c>
      <c r="C41" s="10" t="s">
        <v>41</v>
      </c>
      <c r="D41" s="10" t="s">
        <v>23</v>
      </c>
      <c r="E41" s="10" t="s">
        <v>18</v>
      </c>
      <c r="F41" s="10">
        <v>14</v>
      </c>
      <c r="G41" s="10" t="str">
        <f t="shared" si="1"/>
        <v>Teenager/Adolescent</v>
      </c>
      <c r="H41" s="14">
        <v>9067.3799999999992</v>
      </c>
      <c r="I41" s="10">
        <v>28</v>
      </c>
      <c r="J41" s="10">
        <v>86</v>
      </c>
    </row>
    <row r="42" spans="1:10">
      <c r="A42" s="9" t="s">
        <v>67</v>
      </c>
      <c r="B42" s="9" t="s">
        <v>15</v>
      </c>
      <c r="C42" s="9" t="s">
        <v>28</v>
      </c>
      <c r="D42" s="9" t="s">
        <v>23</v>
      </c>
      <c r="E42" s="9" t="s">
        <v>18</v>
      </c>
      <c r="F42" s="9">
        <v>31</v>
      </c>
      <c r="G42" s="9" t="str">
        <f t="shared" si="1"/>
        <v>Adult</v>
      </c>
      <c r="H42" s="13">
        <v>113414.83</v>
      </c>
      <c r="I42" s="9">
        <v>8</v>
      </c>
      <c r="J42" s="9">
        <v>70</v>
      </c>
    </row>
    <row r="43" spans="1:10">
      <c r="A43" s="10" t="s">
        <v>68</v>
      </c>
      <c r="B43" s="10" t="s">
        <v>31</v>
      </c>
      <c r="C43" s="10" t="s">
        <v>16</v>
      </c>
      <c r="D43" s="10" t="s">
        <v>12</v>
      </c>
      <c r="E43" s="10" t="s">
        <v>18</v>
      </c>
      <c r="F43" s="10">
        <v>85</v>
      </c>
      <c r="G43" s="10" t="str">
        <f t="shared" si="1"/>
        <v>Senior Citizen/Elderly</v>
      </c>
      <c r="H43" s="14">
        <v>78946.19</v>
      </c>
      <c r="I43" s="10">
        <v>3</v>
      </c>
      <c r="J43" s="10">
        <v>48</v>
      </c>
    </row>
    <row r="44" spans="1:10">
      <c r="A44" s="9" t="s">
        <v>69</v>
      </c>
      <c r="B44" s="9" t="s">
        <v>10</v>
      </c>
      <c r="C44" s="9" t="s">
        <v>11</v>
      </c>
      <c r="D44" s="9" t="s">
        <v>26</v>
      </c>
      <c r="E44" s="9" t="s">
        <v>18</v>
      </c>
      <c r="F44" s="9">
        <v>22</v>
      </c>
      <c r="G44" s="9" t="str">
        <f t="shared" si="1"/>
        <v>Young Adult</v>
      </c>
      <c r="H44" s="13">
        <v>100035.91</v>
      </c>
      <c r="I44" s="9">
        <v>29</v>
      </c>
      <c r="J44" s="9">
        <v>70</v>
      </c>
    </row>
    <row r="45" spans="1:10">
      <c r="A45" s="10" t="s">
        <v>70</v>
      </c>
      <c r="B45" s="10" t="s">
        <v>15</v>
      </c>
      <c r="C45" s="10" t="s">
        <v>28</v>
      </c>
      <c r="D45" s="10" t="s">
        <v>23</v>
      </c>
      <c r="E45" s="10" t="s">
        <v>18</v>
      </c>
      <c r="F45" s="10">
        <v>62</v>
      </c>
      <c r="G45" s="10" t="str">
        <f t="shared" si="1"/>
        <v>Senior Citizen/Elderly</v>
      </c>
      <c r="H45" s="14">
        <v>149340.16</v>
      </c>
      <c r="I45" s="10">
        <v>18</v>
      </c>
      <c r="J45" s="10">
        <v>49</v>
      </c>
    </row>
    <row r="46" spans="1:10">
      <c r="A46" s="9" t="s">
        <v>71</v>
      </c>
      <c r="B46" s="9" t="s">
        <v>10</v>
      </c>
      <c r="C46" s="9" t="s">
        <v>11</v>
      </c>
      <c r="D46" s="9" t="s">
        <v>12</v>
      </c>
      <c r="E46" s="9" t="s">
        <v>13</v>
      </c>
      <c r="F46" s="9">
        <v>79</v>
      </c>
      <c r="G46" s="9" t="str">
        <f t="shared" si="1"/>
        <v>Senior Citizen/Elderly</v>
      </c>
      <c r="H46" s="13">
        <v>105328.19</v>
      </c>
      <c r="I46" s="9">
        <v>26</v>
      </c>
      <c r="J46" s="9">
        <v>94</v>
      </c>
    </row>
    <row r="47" spans="1:10">
      <c r="A47" s="10" t="s">
        <v>72</v>
      </c>
      <c r="B47" s="10" t="s">
        <v>10</v>
      </c>
      <c r="C47" s="10" t="s">
        <v>28</v>
      </c>
      <c r="D47" s="10" t="s">
        <v>12</v>
      </c>
      <c r="E47" s="10" t="s">
        <v>29</v>
      </c>
      <c r="F47" s="10">
        <v>19</v>
      </c>
      <c r="G47" s="10" t="str">
        <f t="shared" si="1"/>
        <v>Teenager/Adolescent</v>
      </c>
      <c r="H47" s="14">
        <v>21826.12</v>
      </c>
      <c r="I47" s="10">
        <v>17</v>
      </c>
      <c r="J47" s="10">
        <v>48</v>
      </c>
    </row>
    <row r="48" spans="1:10">
      <c r="A48" s="9" t="s">
        <v>73</v>
      </c>
      <c r="B48" s="9" t="s">
        <v>36</v>
      </c>
      <c r="C48" s="9" t="s">
        <v>11</v>
      </c>
      <c r="D48" s="9" t="s">
        <v>32</v>
      </c>
      <c r="E48" s="9" t="s">
        <v>18</v>
      </c>
      <c r="F48" s="9">
        <v>37</v>
      </c>
      <c r="G48" s="9" t="str">
        <f t="shared" si="1"/>
        <v>Adult</v>
      </c>
      <c r="H48" s="13">
        <v>77556.53</v>
      </c>
      <c r="I48" s="9">
        <v>24</v>
      </c>
      <c r="J48" s="9">
        <v>87</v>
      </c>
    </row>
    <row r="49" spans="1:10">
      <c r="A49" s="10" t="s">
        <v>74</v>
      </c>
      <c r="B49" s="10" t="s">
        <v>36</v>
      </c>
      <c r="C49" s="10" t="s">
        <v>28</v>
      </c>
      <c r="D49" s="10" t="s">
        <v>26</v>
      </c>
      <c r="E49" s="10" t="s">
        <v>18</v>
      </c>
      <c r="F49" s="10">
        <v>30</v>
      </c>
      <c r="G49" s="10" t="str">
        <f t="shared" si="1"/>
        <v>Adult</v>
      </c>
      <c r="H49" s="14">
        <v>53806.86</v>
      </c>
      <c r="I49" s="10">
        <v>21</v>
      </c>
      <c r="J49" s="10">
        <v>82</v>
      </c>
    </row>
    <row r="50" spans="1:10">
      <c r="A50" s="9" t="s">
        <v>75</v>
      </c>
      <c r="B50" s="9" t="s">
        <v>15</v>
      </c>
      <c r="C50" s="9" t="s">
        <v>41</v>
      </c>
      <c r="D50" s="9" t="s">
        <v>12</v>
      </c>
      <c r="E50" s="9" t="s">
        <v>18</v>
      </c>
      <c r="F50" s="9">
        <v>66</v>
      </c>
      <c r="G50" s="9" t="str">
        <f t="shared" si="1"/>
        <v>Senior Citizen/Elderly</v>
      </c>
      <c r="H50" s="13">
        <v>84096.91</v>
      </c>
      <c r="I50" s="9">
        <v>18</v>
      </c>
      <c r="J50" s="9">
        <v>91</v>
      </c>
    </row>
    <row r="51" spans="1:10">
      <c r="A51" s="10" t="s">
        <v>76</v>
      </c>
      <c r="B51" s="10" t="s">
        <v>10</v>
      </c>
      <c r="C51" s="10" t="s">
        <v>28</v>
      </c>
      <c r="D51" s="10" t="s">
        <v>12</v>
      </c>
      <c r="E51" s="10" t="s">
        <v>18</v>
      </c>
      <c r="F51" s="10">
        <v>22</v>
      </c>
      <c r="G51" s="10" t="str">
        <f t="shared" si="1"/>
        <v>Young Adult</v>
      </c>
      <c r="H51" s="14">
        <v>46384.67</v>
      </c>
      <c r="I51" s="10">
        <v>3</v>
      </c>
      <c r="J51" s="10">
        <v>84</v>
      </c>
    </row>
    <row r="52" spans="1:10">
      <c r="A52" s="9" t="s">
        <v>77</v>
      </c>
      <c r="B52" s="9" t="s">
        <v>10</v>
      </c>
      <c r="C52" s="9" t="s">
        <v>28</v>
      </c>
      <c r="D52" s="9" t="s">
        <v>17</v>
      </c>
      <c r="E52" s="9" t="s">
        <v>18</v>
      </c>
      <c r="F52" s="9">
        <v>60</v>
      </c>
      <c r="G52" s="9" t="str">
        <f t="shared" si="1"/>
        <v>Senior Citizen/Elderly</v>
      </c>
      <c r="H52" s="13">
        <v>122442.43</v>
      </c>
      <c r="I52" s="9">
        <v>6</v>
      </c>
      <c r="J52" s="9">
        <v>94</v>
      </c>
    </row>
    <row r="53" spans="1:10">
      <c r="A53" s="10" t="s">
        <v>78</v>
      </c>
      <c r="B53" s="10" t="s">
        <v>31</v>
      </c>
      <c r="C53" s="10" t="s">
        <v>16</v>
      </c>
      <c r="D53" s="10" t="s">
        <v>12</v>
      </c>
      <c r="E53" s="10" t="s">
        <v>29</v>
      </c>
      <c r="F53" s="10">
        <v>35</v>
      </c>
      <c r="G53" s="10" t="str">
        <f t="shared" si="1"/>
        <v>Adult</v>
      </c>
      <c r="H53" s="14">
        <v>73863.679999999993</v>
      </c>
      <c r="I53" s="10">
        <v>17</v>
      </c>
      <c r="J53" s="10">
        <v>42</v>
      </c>
    </row>
    <row r="54" spans="1:10">
      <c r="A54" s="9" t="s">
        <v>79</v>
      </c>
      <c r="B54" s="9" t="s">
        <v>22</v>
      </c>
      <c r="C54" s="9" t="s">
        <v>11</v>
      </c>
      <c r="D54" s="9" t="s">
        <v>23</v>
      </c>
      <c r="E54" s="9" t="s">
        <v>13</v>
      </c>
      <c r="F54" s="9">
        <v>21</v>
      </c>
      <c r="G54" s="9" t="str">
        <f t="shared" si="1"/>
        <v>Young Adult</v>
      </c>
      <c r="H54" s="13">
        <v>75334.19</v>
      </c>
      <c r="I54" s="9">
        <v>23</v>
      </c>
      <c r="J54" s="9">
        <v>51</v>
      </c>
    </row>
    <row r="55" spans="1:10">
      <c r="A55" s="10" t="s">
        <v>80</v>
      </c>
      <c r="B55" s="10" t="s">
        <v>31</v>
      </c>
      <c r="C55" s="10" t="s">
        <v>28</v>
      </c>
      <c r="D55" s="10" t="s">
        <v>17</v>
      </c>
      <c r="E55" s="10" t="s">
        <v>29</v>
      </c>
      <c r="F55" s="10">
        <v>51</v>
      </c>
      <c r="G55" s="10" t="str">
        <f t="shared" si="1"/>
        <v>Middle-aged Adult</v>
      </c>
      <c r="H55" s="14">
        <v>59829.99</v>
      </c>
      <c r="I55" s="10">
        <v>2</v>
      </c>
      <c r="J55" s="10">
        <v>40</v>
      </c>
    </row>
    <row r="56" spans="1:10">
      <c r="A56" s="9" t="s">
        <v>81</v>
      </c>
      <c r="B56" s="9" t="s">
        <v>31</v>
      </c>
      <c r="C56" s="9" t="s">
        <v>28</v>
      </c>
      <c r="D56" s="9" t="s">
        <v>32</v>
      </c>
      <c r="E56" s="9" t="s">
        <v>13</v>
      </c>
      <c r="F56" s="9">
        <v>87</v>
      </c>
      <c r="G56" s="9" t="str">
        <f t="shared" si="1"/>
        <v>Senior Citizen/Elderly</v>
      </c>
      <c r="H56" s="13">
        <v>5444.8</v>
      </c>
      <c r="I56" s="9">
        <v>5</v>
      </c>
      <c r="J56" s="9">
        <v>42</v>
      </c>
    </row>
    <row r="57" spans="1:10">
      <c r="A57" s="10" t="s">
        <v>82</v>
      </c>
      <c r="B57" s="10" t="s">
        <v>25</v>
      </c>
      <c r="C57" s="10" t="s">
        <v>11</v>
      </c>
      <c r="D57" s="10" t="s">
        <v>17</v>
      </c>
      <c r="E57" s="10" t="s">
        <v>18</v>
      </c>
      <c r="F57" s="10">
        <v>11</v>
      </c>
      <c r="G57" s="10" t="str">
        <f t="shared" si="1"/>
        <v>Child</v>
      </c>
      <c r="H57" s="14">
        <v>39022.85</v>
      </c>
      <c r="I57" s="10">
        <v>8</v>
      </c>
      <c r="J57" s="10">
        <v>96</v>
      </c>
    </row>
    <row r="58" spans="1:10">
      <c r="A58" s="9" t="s">
        <v>83</v>
      </c>
      <c r="B58" s="9" t="s">
        <v>15</v>
      </c>
      <c r="C58" s="9" t="s">
        <v>11</v>
      </c>
      <c r="D58" s="9" t="s">
        <v>12</v>
      </c>
      <c r="E58" s="9" t="s">
        <v>18</v>
      </c>
      <c r="F58" s="9">
        <v>7</v>
      </c>
      <c r="G58" s="9" t="str">
        <f t="shared" si="1"/>
        <v>Child</v>
      </c>
      <c r="H58" s="13">
        <v>127110.45</v>
      </c>
      <c r="I58" s="9">
        <v>30</v>
      </c>
      <c r="J58" s="9">
        <v>100</v>
      </c>
    </row>
    <row r="59" spans="1:10">
      <c r="A59" s="10" t="s">
        <v>84</v>
      </c>
      <c r="B59" s="10" t="s">
        <v>25</v>
      </c>
      <c r="C59" s="10" t="s">
        <v>16</v>
      </c>
      <c r="D59" s="10" t="s">
        <v>17</v>
      </c>
      <c r="E59" s="10" t="s">
        <v>29</v>
      </c>
      <c r="F59" s="10">
        <v>80</v>
      </c>
      <c r="G59" s="10" t="str">
        <f t="shared" si="1"/>
        <v>Senior Citizen/Elderly</v>
      </c>
      <c r="H59" s="14">
        <v>120082.46</v>
      </c>
      <c r="I59" s="10">
        <v>16</v>
      </c>
      <c r="J59" s="10">
        <v>93</v>
      </c>
    </row>
    <row r="60" spans="1:10">
      <c r="A60" s="9" t="s">
        <v>85</v>
      </c>
      <c r="B60" s="9" t="s">
        <v>15</v>
      </c>
      <c r="C60" s="9" t="s">
        <v>28</v>
      </c>
      <c r="D60" s="9" t="s">
        <v>17</v>
      </c>
      <c r="E60" s="9" t="s">
        <v>18</v>
      </c>
      <c r="F60" s="9">
        <v>75</v>
      </c>
      <c r="G60" s="9" t="str">
        <f t="shared" si="1"/>
        <v>Senior Citizen/Elderly</v>
      </c>
      <c r="H60" s="13">
        <v>79671.37</v>
      </c>
      <c r="I60" s="9">
        <v>30</v>
      </c>
      <c r="J60" s="9">
        <v>43</v>
      </c>
    </row>
    <row r="61" spans="1:10">
      <c r="A61" s="10" t="s">
        <v>86</v>
      </c>
      <c r="B61" s="10" t="s">
        <v>10</v>
      </c>
      <c r="C61" s="10" t="s">
        <v>41</v>
      </c>
      <c r="D61" s="10" t="s">
        <v>12</v>
      </c>
      <c r="E61" s="10" t="s">
        <v>18</v>
      </c>
      <c r="F61" s="10">
        <v>7</v>
      </c>
      <c r="G61" s="10" t="str">
        <f t="shared" si="1"/>
        <v>Child</v>
      </c>
      <c r="H61" s="14">
        <v>66277.52</v>
      </c>
      <c r="I61" s="10">
        <v>26</v>
      </c>
      <c r="J61" s="10">
        <v>69</v>
      </c>
    </row>
    <row r="62" spans="1:10">
      <c r="A62" s="9" t="s">
        <v>87</v>
      </c>
      <c r="B62" s="9" t="s">
        <v>22</v>
      </c>
      <c r="C62" s="9" t="s">
        <v>11</v>
      </c>
      <c r="D62" s="9" t="s">
        <v>32</v>
      </c>
      <c r="E62" s="9" t="s">
        <v>13</v>
      </c>
      <c r="F62" s="9">
        <v>14</v>
      </c>
      <c r="G62" s="9" t="str">
        <f t="shared" si="1"/>
        <v>Teenager/Adolescent</v>
      </c>
      <c r="H62" s="13">
        <v>12241.3</v>
      </c>
      <c r="I62" s="9">
        <v>20</v>
      </c>
      <c r="J62" s="9">
        <v>40</v>
      </c>
    </row>
    <row r="63" spans="1:10">
      <c r="A63" s="10" t="s">
        <v>88</v>
      </c>
      <c r="B63" s="10" t="s">
        <v>36</v>
      </c>
      <c r="C63" s="10" t="s">
        <v>28</v>
      </c>
      <c r="D63" s="10" t="s">
        <v>17</v>
      </c>
      <c r="E63" s="10" t="s">
        <v>18</v>
      </c>
      <c r="F63" s="10">
        <v>22</v>
      </c>
      <c r="G63" s="10" t="str">
        <f t="shared" si="1"/>
        <v>Young Adult</v>
      </c>
      <c r="H63" s="14">
        <v>133882.43</v>
      </c>
      <c r="I63" s="10">
        <v>29</v>
      </c>
      <c r="J63" s="10">
        <v>63</v>
      </c>
    </row>
    <row r="64" spans="1:10">
      <c r="A64" s="9" t="s">
        <v>89</v>
      </c>
      <c r="B64" s="9" t="s">
        <v>25</v>
      </c>
      <c r="C64" s="9" t="s">
        <v>41</v>
      </c>
      <c r="D64" s="9" t="s">
        <v>12</v>
      </c>
      <c r="E64" s="9" t="s">
        <v>29</v>
      </c>
      <c r="F64" s="9">
        <v>73</v>
      </c>
      <c r="G64" s="9" t="str">
        <f t="shared" si="1"/>
        <v>Senior Citizen/Elderly</v>
      </c>
      <c r="H64" s="13">
        <v>148488.95000000001</v>
      </c>
      <c r="I64" s="9">
        <v>22</v>
      </c>
      <c r="J64" s="9">
        <v>77</v>
      </c>
    </row>
    <row r="65" spans="1:10">
      <c r="A65" s="10" t="s">
        <v>90</v>
      </c>
      <c r="B65" s="10" t="s">
        <v>31</v>
      </c>
      <c r="C65" s="10" t="s">
        <v>16</v>
      </c>
      <c r="D65" s="10" t="s">
        <v>12</v>
      </c>
      <c r="E65" s="10" t="s">
        <v>29</v>
      </c>
      <c r="F65" s="10">
        <v>5</v>
      </c>
      <c r="G65" s="10" t="str">
        <f t="shared" si="1"/>
        <v>Child</v>
      </c>
      <c r="H65" s="14">
        <v>74239.37</v>
      </c>
      <c r="I65" s="10">
        <v>7</v>
      </c>
      <c r="J65" s="10">
        <v>61</v>
      </c>
    </row>
    <row r="66" spans="1:10">
      <c r="A66" s="9" t="s">
        <v>91</v>
      </c>
      <c r="B66" s="9" t="s">
        <v>22</v>
      </c>
      <c r="C66" s="9" t="s">
        <v>16</v>
      </c>
      <c r="D66" s="9" t="s">
        <v>32</v>
      </c>
      <c r="E66" s="9" t="s">
        <v>18</v>
      </c>
      <c r="F66" s="9">
        <v>6</v>
      </c>
      <c r="G66" s="9" t="str">
        <f t="shared" ref="G66:G97" si="2">IF(F66&lt;=12,"Child",
IF(F66&lt;=19,"Teenager/Adolescent",
IF(F66&lt;=29,"Young Adult",
IF(F66&lt;=44,"Adult",
IF(F66&lt;=59,"Middle-aged Adult",
"Senior Citizen/Elderly")))))</f>
        <v>Child</v>
      </c>
      <c r="H66" s="13">
        <v>98732.94</v>
      </c>
      <c r="I66" s="9">
        <v>25</v>
      </c>
      <c r="J66" s="9">
        <v>45</v>
      </c>
    </row>
    <row r="67" spans="1:10">
      <c r="A67" s="10" t="s">
        <v>92</v>
      </c>
      <c r="B67" s="10" t="s">
        <v>10</v>
      </c>
      <c r="C67" s="10" t="s">
        <v>11</v>
      </c>
      <c r="D67" s="10" t="s">
        <v>23</v>
      </c>
      <c r="E67" s="10" t="s">
        <v>13</v>
      </c>
      <c r="F67" s="10">
        <v>4</v>
      </c>
      <c r="G67" s="10" t="str">
        <f t="shared" si="2"/>
        <v>Child</v>
      </c>
      <c r="H67" s="14">
        <v>66339.33</v>
      </c>
      <c r="I67" s="10">
        <v>5</v>
      </c>
      <c r="J67" s="10">
        <v>77</v>
      </c>
    </row>
    <row r="68" spans="1:10">
      <c r="A68" s="9" t="s">
        <v>93</v>
      </c>
      <c r="B68" s="9" t="s">
        <v>10</v>
      </c>
      <c r="C68" s="9" t="s">
        <v>16</v>
      </c>
      <c r="D68" s="9" t="s">
        <v>32</v>
      </c>
      <c r="E68" s="9" t="s">
        <v>18</v>
      </c>
      <c r="F68" s="9">
        <v>14</v>
      </c>
      <c r="G68" s="9" t="str">
        <f t="shared" si="2"/>
        <v>Teenager/Adolescent</v>
      </c>
      <c r="H68" s="13">
        <v>113363.27</v>
      </c>
      <c r="I68" s="9">
        <v>9</v>
      </c>
      <c r="J68" s="9">
        <v>74</v>
      </c>
    </row>
    <row r="69" spans="1:10">
      <c r="A69" s="10" t="s">
        <v>94</v>
      </c>
      <c r="B69" s="10" t="s">
        <v>10</v>
      </c>
      <c r="C69" s="10" t="s">
        <v>16</v>
      </c>
      <c r="D69" s="10" t="s">
        <v>32</v>
      </c>
      <c r="E69" s="10" t="s">
        <v>13</v>
      </c>
      <c r="F69" s="10">
        <v>11</v>
      </c>
      <c r="G69" s="10" t="str">
        <f t="shared" si="2"/>
        <v>Child</v>
      </c>
      <c r="H69" s="14">
        <v>24492.09</v>
      </c>
      <c r="I69" s="10">
        <v>8</v>
      </c>
      <c r="J69" s="10">
        <v>58</v>
      </c>
    </row>
    <row r="70" spans="1:10">
      <c r="A70" s="9" t="s">
        <v>95</v>
      </c>
      <c r="B70" s="9" t="s">
        <v>25</v>
      </c>
      <c r="C70" s="9" t="s">
        <v>16</v>
      </c>
      <c r="D70" s="9" t="s">
        <v>32</v>
      </c>
      <c r="E70" s="9" t="s">
        <v>13</v>
      </c>
      <c r="F70" s="9">
        <v>19</v>
      </c>
      <c r="G70" s="9" t="str">
        <f t="shared" si="2"/>
        <v>Teenager/Adolescent</v>
      </c>
      <c r="H70" s="13">
        <v>42080.85</v>
      </c>
      <c r="I70" s="9">
        <v>29</v>
      </c>
      <c r="J70" s="9">
        <v>65</v>
      </c>
    </row>
    <row r="71" spans="1:10">
      <c r="A71" s="10" t="s">
        <v>96</v>
      </c>
      <c r="B71" s="10" t="s">
        <v>31</v>
      </c>
      <c r="C71" s="10" t="s">
        <v>16</v>
      </c>
      <c r="D71" s="10" t="s">
        <v>23</v>
      </c>
      <c r="E71" s="10" t="s">
        <v>29</v>
      </c>
      <c r="F71" s="10">
        <v>56</v>
      </c>
      <c r="G71" s="10" t="str">
        <f t="shared" si="2"/>
        <v>Middle-aged Adult</v>
      </c>
      <c r="H71" s="14">
        <v>147658.16</v>
      </c>
      <c r="I71" s="10">
        <v>11</v>
      </c>
      <c r="J71" s="10">
        <v>96</v>
      </c>
    </row>
    <row r="72" spans="1:10">
      <c r="A72" s="9" t="s">
        <v>97</v>
      </c>
      <c r="B72" s="9" t="s">
        <v>22</v>
      </c>
      <c r="C72" s="9" t="s">
        <v>16</v>
      </c>
      <c r="D72" s="9" t="s">
        <v>12</v>
      </c>
      <c r="E72" s="9" t="s">
        <v>13</v>
      </c>
      <c r="F72" s="9">
        <v>40</v>
      </c>
      <c r="G72" s="9" t="str">
        <f t="shared" si="2"/>
        <v>Adult</v>
      </c>
      <c r="H72" s="13">
        <v>79386.600000000006</v>
      </c>
      <c r="I72" s="9">
        <v>21</v>
      </c>
      <c r="J72" s="9">
        <v>67</v>
      </c>
    </row>
    <row r="73" spans="1:10">
      <c r="A73" s="10" t="s">
        <v>98</v>
      </c>
      <c r="B73" s="10" t="s">
        <v>36</v>
      </c>
      <c r="C73" s="10" t="s">
        <v>41</v>
      </c>
      <c r="D73" s="10" t="s">
        <v>17</v>
      </c>
      <c r="E73" s="10" t="s">
        <v>18</v>
      </c>
      <c r="F73" s="10">
        <v>6</v>
      </c>
      <c r="G73" s="10" t="str">
        <f t="shared" si="2"/>
        <v>Child</v>
      </c>
      <c r="H73" s="14">
        <v>22175.37</v>
      </c>
      <c r="I73" s="10">
        <v>17</v>
      </c>
      <c r="J73" s="10">
        <v>82</v>
      </c>
    </row>
    <row r="74" spans="1:10">
      <c r="A74" s="9" t="s">
        <v>99</v>
      </c>
      <c r="B74" s="9" t="s">
        <v>31</v>
      </c>
      <c r="C74" s="9" t="s">
        <v>28</v>
      </c>
      <c r="D74" s="9" t="s">
        <v>12</v>
      </c>
      <c r="E74" s="9" t="s">
        <v>29</v>
      </c>
      <c r="F74" s="9">
        <v>62</v>
      </c>
      <c r="G74" s="9" t="str">
        <f t="shared" si="2"/>
        <v>Senior Citizen/Elderly</v>
      </c>
      <c r="H74" s="13">
        <v>16296.15</v>
      </c>
      <c r="I74" s="9">
        <v>28</v>
      </c>
      <c r="J74" s="9">
        <v>63</v>
      </c>
    </row>
    <row r="75" spans="1:10">
      <c r="A75" s="10" t="s">
        <v>100</v>
      </c>
      <c r="B75" s="10" t="s">
        <v>31</v>
      </c>
      <c r="C75" s="10" t="s">
        <v>41</v>
      </c>
      <c r="D75" s="10" t="s">
        <v>12</v>
      </c>
      <c r="E75" s="10" t="s">
        <v>29</v>
      </c>
      <c r="F75" s="10">
        <v>56</v>
      </c>
      <c r="G75" s="10" t="str">
        <f t="shared" si="2"/>
        <v>Middle-aged Adult</v>
      </c>
      <c r="H75" s="14">
        <v>120488.57</v>
      </c>
      <c r="I75" s="10">
        <v>30</v>
      </c>
      <c r="J75" s="10">
        <v>48</v>
      </c>
    </row>
    <row r="76" spans="1:10">
      <c r="A76" s="9" t="s">
        <v>101</v>
      </c>
      <c r="B76" s="9" t="s">
        <v>22</v>
      </c>
      <c r="C76" s="9" t="s">
        <v>28</v>
      </c>
      <c r="D76" s="9" t="s">
        <v>12</v>
      </c>
      <c r="E76" s="9" t="s">
        <v>13</v>
      </c>
      <c r="F76" s="9">
        <v>8</v>
      </c>
      <c r="G76" s="9" t="str">
        <f t="shared" si="2"/>
        <v>Child</v>
      </c>
      <c r="H76" s="13">
        <v>111873.66</v>
      </c>
      <c r="I76" s="9">
        <v>16</v>
      </c>
      <c r="J76" s="9">
        <v>74</v>
      </c>
    </row>
    <row r="77" spans="1:10">
      <c r="A77" s="10" t="s">
        <v>102</v>
      </c>
      <c r="B77" s="10" t="s">
        <v>22</v>
      </c>
      <c r="C77" s="10" t="s">
        <v>16</v>
      </c>
      <c r="D77" s="10" t="s">
        <v>23</v>
      </c>
      <c r="E77" s="10" t="s">
        <v>18</v>
      </c>
      <c r="F77" s="10">
        <v>62</v>
      </c>
      <c r="G77" s="10" t="str">
        <f t="shared" si="2"/>
        <v>Senior Citizen/Elderly</v>
      </c>
      <c r="H77" s="14">
        <v>27610.65</v>
      </c>
      <c r="I77" s="10">
        <v>26</v>
      </c>
      <c r="J77" s="10">
        <v>72</v>
      </c>
    </row>
    <row r="78" spans="1:10">
      <c r="A78" s="9" t="s">
        <v>103</v>
      </c>
      <c r="B78" s="9" t="s">
        <v>22</v>
      </c>
      <c r="C78" s="9" t="s">
        <v>41</v>
      </c>
      <c r="D78" s="9" t="s">
        <v>32</v>
      </c>
      <c r="E78" s="9" t="s">
        <v>29</v>
      </c>
      <c r="F78" s="9">
        <v>17</v>
      </c>
      <c r="G78" s="9" t="str">
        <f t="shared" si="2"/>
        <v>Teenager/Adolescent</v>
      </c>
      <c r="H78" s="13">
        <v>142458.98000000001</v>
      </c>
      <c r="I78" s="9">
        <v>6</v>
      </c>
      <c r="J78" s="9">
        <v>69</v>
      </c>
    </row>
    <row r="79" spans="1:10">
      <c r="A79" s="10" t="s">
        <v>104</v>
      </c>
      <c r="B79" s="10" t="s">
        <v>22</v>
      </c>
      <c r="C79" s="10" t="s">
        <v>11</v>
      </c>
      <c r="D79" s="10" t="s">
        <v>23</v>
      </c>
      <c r="E79" s="10" t="s">
        <v>29</v>
      </c>
      <c r="F79" s="10">
        <v>7</v>
      </c>
      <c r="G79" s="10" t="str">
        <f t="shared" si="2"/>
        <v>Child</v>
      </c>
      <c r="H79" s="14">
        <v>23799.83</v>
      </c>
      <c r="I79" s="10">
        <v>26</v>
      </c>
      <c r="J79" s="10">
        <v>52</v>
      </c>
    </row>
    <row r="80" spans="1:10">
      <c r="A80" s="9" t="s">
        <v>105</v>
      </c>
      <c r="B80" s="9" t="s">
        <v>36</v>
      </c>
      <c r="C80" s="9" t="s">
        <v>41</v>
      </c>
      <c r="D80" s="9" t="s">
        <v>12</v>
      </c>
      <c r="E80" s="9" t="s">
        <v>29</v>
      </c>
      <c r="F80" s="9">
        <v>49</v>
      </c>
      <c r="G80" s="9" t="str">
        <f t="shared" si="2"/>
        <v>Middle-aged Adult</v>
      </c>
      <c r="H80" s="13">
        <v>117019.47</v>
      </c>
      <c r="I80" s="9">
        <v>28</v>
      </c>
      <c r="J80" s="9">
        <v>63</v>
      </c>
    </row>
    <row r="81" spans="1:10">
      <c r="A81" s="10" t="s">
        <v>106</v>
      </c>
      <c r="B81" s="10" t="s">
        <v>36</v>
      </c>
      <c r="C81" s="10" t="s">
        <v>11</v>
      </c>
      <c r="D81" s="10" t="s">
        <v>32</v>
      </c>
      <c r="E81" s="10" t="s">
        <v>29</v>
      </c>
      <c r="F81" s="10">
        <v>12</v>
      </c>
      <c r="G81" s="10" t="str">
        <f t="shared" si="2"/>
        <v>Child</v>
      </c>
      <c r="H81" s="14">
        <v>69472.05</v>
      </c>
      <c r="I81" s="10">
        <v>11</v>
      </c>
      <c r="J81" s="10">
        <v>68</v>
      </c>
    </row>
    <row r="82" spans="1:10">
      <c r="A82" s="9" t="s">
        <v>107</v>
      </c>
      <c r="B82" s="9" t="s">
        <v>25</v>
      </c>
      <c r="C82" s="9" t="s">
        <v>11</v>
      </c>
      <c r="D82" s="9" t="s">
        <v>32</v>
      </c>
      <c r="E82" s="9" t="s">
        <v>13</v>
      </c>
      <c r="F82" s="9">
        <v>5</v>
      </c>
      <c r="G82" s="9" t="str">
        <f t="shared" si="2"/>
        <v>Child</v>
      </c>
      <c r="H82" s="13">
        <v>64103.040000000001</v>
      </c>
      <c r="I82" s="9">
        <v>14</v>
      </c>
      <c r="J82" s="9">
        <v>42</v>
      </c>
    </row>
    <row r="83" spans="1:10">
      <c r="A83" s="10" t="s">
        <v>108</v>
      </c>
      <c r="B83" s="10" t="s">
        <v>22</v>
      </c>
      <c r="C83" s="10" t="s">
        <v>11</v>
      </c>
      <c r="D83" s="10" t="s">
        <v>12</v>
      </c>
      <c r="E83" s="10" t="s">
        <v>29</v>
      </c>
      <c r="F83" s="10">
        <v>13</v>
      </c>
      <c r="G83" s="10" t="str">
        <f t="shared" si="2"/>
        <v>Teenager/Adolescent</v>
      </c>
      <c r="H83" s="14">
        <v>137441.75</v>
      </c>
      <c r="I83" s="10">
        <v>23</v>
      </c>
      <c r="J83" s="10">
        <v>74</v>
      </c>
    </row>
    <row r="84" spans="1:10">
      <c r="A84" s="9" t="s">
        <v>109</v>
      </c>
      <c r="B84" s="9" t="s">
        <v>25</v>
      </c>
      <c r="C84" s="9" t="s">
        <v>11</v>
      </c>
      <c r="D84" s="9" t="s">
        <v>23</v>
      </c>
      <c r="E84" s="9" t="s">
        <v>13</v>
      </c>
      <c r="F84" s="9">
        <v>71</v>
      </c>
      <c r="G84" s="9" t="str">
        <f t="shared" si="2"/>
        <v>Senior Citizen/Elderly</v>
      </c>
      <c r="H84" s="13">
        <v>11066.61</v>
      </c>
      <c r="I84" s="9">
        <v>17</v>
      </c>
      <c r="J84" s="9">
        <v>86</v>
      </c>
    </row>
    <row r="85" spans="1:10">
      <c r="A85" s="10" t="s">
        <v>110</v>
      </c>
      <c r="B85" s="10" t="s">
        <v>31</v>
      </c>
      <c r="C85" s="10" t="s">
        <v>16</v>
      </c>
      <c r="D85" s="10" t="s">
        <v>26</v>
      </c>
      <c r="E85" s="10" t="s">
        <v>13</v>
      </c>
      <c r="F85" s="10">
        <v>87</v>
      </c>
      <c r="G85" s="10" t="str">
        <f t="shared" si="2"/>
        <v>Senior Citizen/Elderly</v>
      </c>
      <c r="H85" s="14">
        <v>36726.76</v>
      </c>
      <c r="I85" s="10">
        <v>4</v>
      </c>
      <c r="J85" s="10">
        <v>53</v>
      </c>
    </row>
    <row r="86" spans="1:10">
      <c r="A86" s="9" t="s">
        <v>111</v>
      </c>
      <c r="B86" s="9" t="s">
        <v>15</v>
      </c>
      <c r="C86" s="9" t="s">
        <v>16</v>
      </c>
      <c r="D86" s="9" t="s">
        <v>17</v>
      </c>
      <c r="E86" s="9" t="s">
        <v>29</v>
      </c>
      <c r="F86" s="9">
        <v>40</v>
      </c>
      <c r="G86" s="9" t="str">
        <f t="shared" si="2"/>
        <v>Adult</v>
      </c>
      <c r="H86" s="13">
        <v>19717.900000000001</v>
      </c>
      <c r="I86" s="9">
        <v>20</v>
      </c>
      <c r="J86" s="9">
        <v>63</v>
      </c>
    </row>
    <row r="87" spans="1:10">
      <c r="A87" s="10" t="s">
        <v>112</v>
      </c>
      <c r="B87" s="10" t="s">
        <v>36</v>
      </c>
      <c r="C87" s="10" t="s">
        <v>16</v>
      </c>
      <c r="D87" s="10" t="s">
        <v>26</v>
      </c>
      <c r="E87" s="10" t="s">
        <v>29</v>
      </c>
      <c r="F87" s="10">
        <v>63</v>
      </c>
      <c r="G87" s="10" t="str">
        <f t="shared" si="2"/>
        <v>Senior Citizen/Elderly</v>
      </c>
      <c r="H87" s="14">
        <v>82657.039999999994</v>
      </c>
      <c r="I87" s="10">
        <v>4</v>
      </c>
      <c r="J87" s="10">
        <v>55</v>
      </c>
    </row>
    <row r="88" spans="1:10">
      <c r="A88" s="9" t="s">
        <v>113</v>
      </c>
      <c r="B88" s="9" t="s">
        <v>15</v>
      </c>
      <c r="C88" s="9" t="s">
        <v>16</v>
      </c>
      <c r="D88" s="9" t="s">
        <v>17</v>
      </c>
      <c r="E88" s="9" t="s">
        <v>29</v>
      </c>
      <c r="F88" s="9">
        <v>1</v>
      </c>
      <c r="G88" s="9" t="str">
        <f t="shared" si="2"/>
        <v>Child</v>
      </c>
      <c r="H88" s="13">
        <v>16874.009999999998</v>
      </c>
      <c r="I88" s="9">
        <v>14</v>
      </c>
      <c r="J88" s="9">
        <v>76</v>
      </c>
    </row>
    <row r="89" spans="1:10">
      <c r="A89" s="10" t="s">
        <v>114</v>
      </c>
      <c r="B89" s="10" t="s">
        <v>15</v>
      </c>
      <c r="C89" s="10" t="s">
        <v>41</v>
      </c>
      <c r="D89" s="10" t="s">
        <v>12</v>
      </c>
      <c r="E89" s="10" t="s">
        <v>18</v>
      </c>
      <c r="F89" s="10">
        <v>37</v>
      </c>
      <c r="G89" s="10" t="str">
        <f t="shared" si="2"/>
        <v>Adult</v>
      </c>
      <c r="H89" s="14">
        <v>8578.83</v>
      </c>
      <c r="I89" s="10">
        <v>2</v>
      </c>
      <c r="J89" s="10">
        <v>90</v>
      </c>
    </row>
    <row r="90" spans="1:10">
      <c r="A90" s="9" t="s">
        <v>115</v>
      </c>
      <c r="B90" s="9" t="s">
        <v>36</v>
      </c>
      <c r="C90" s="9" t="s">
        <v>11</v>
      </c>
      <c r="D90" s="9" t="s">
        <v>17</v>
      </c>
      <c r="E90" s="9" t="s">
        <v>18</v>
      </c>
      <c r="F90" s="9">
        <v>7</v>
      </c>
      <c r="G90" s="9" t="str">
        <f t="shared" si="2"/>
        <v>Child</v>
      </c>
      <c r="H90" s="13">
        <v>22311.39</v>
      </c>
      <c r="I90" s="9">
        <v>14</v>
      </c>
      <c r="J90" s="9">
        <v>86</v>
      </c>
    </row>
    <row r="91" spans="1:10">
      <c r="A91" s="10" t="s">
        <v>116</v>
      </c>
      <c r="B91" s="10" t="s">
        <v>25</v>
      </c>
      <c r="C91" s="10" t="s">
        <v>41</v>
      </c>
      <c r="D91" s="10" t="s">
        <v>12</v>
      </c>
      <c r="E91" s="10" t="s">
        <v>29</v>
      </c>
      <c r="F91" s="10">
        <v>46</v>
      </c>
      <c r="G91" s="10" t="str">
        <f t="shared" si="2"/>
        <v>Middle-aged Adult</v>
      </c>
      <c r="H91" s="14">
        <v>128560.01</v>
      </c>
      <c r="I91" s="10">
        <v>7</v>
      </c>
      <c r="J91" s="10">
        <v>52</v>
      </c>
    </row>
    <row r="92" spans="1:10">
      <c r="A92" s="9" t="s">
        <v>117</v>
      </c>
      <c r="B92" s="9" t="s">
        <v>31</v>
      </c>
      <c r="C92" s="9" t="s">
        <v>11</v>
      </c>
      <c r="D92" s="9" t="s">
        <v>23</v>
      </c>
      <c r="E92" s="9" t="s">
        <v>29</v>
      </c>
      <c r="F92" s="9">
        <v>30</v>
      </c>
      <c r="G92" s="9" t="str">
        <f t="shared" si="2"/>
        <v>Adult</v>
      </c>
      <c r="H92" s="13">
        <v>147742.63</v>
      </c>
      <c r="I92" s="9">
        <v>28</v>
      </c>
      <c r="J92" s="9">
        <v>62</v>
      </c>
    </row>
    <row r="93" spans="1:10">
      <c r="A93" s="10" t="s">
        <v>118</v>
      </c>
      <c r="B93" s="10" t="s">
        <v>15</v>
      </c>
      <c r="C93" s="10" t="s">
        <v>11</v>
      </c>
      <c r="D93" s="10" t="s">
        <v>17</v>
      </c>
      <c r="E93" s="10" t="s">
        <v>29</v>
      </c>
      <c r="F93" s="10">
        <v>66</v>
      </c>
      <c r="G93" s="10" t="str">
        <f t="shared" si="2"/>
        <v>Senior Citizen/Elderly</v>
      </c>
      <c r="H93" s="14">
        <v>54562.1</v>
      </c>
      <c r="I93" s="10">
        <v>21</v>
      </c>
      <c r="J93" s="10">
        <v>86</v>
      </c>
    </row>
    <row r="94" spans="1:10">
      <c r="A94" s="9" t="s">
        <v>119</v>
      </c>
      <c r="B94" s="9" t="s">
        <v>36</v>
      </c>
      <c r="C94" s="9" t="s">
        <v>28</v>
      </c>
      <c r="D94" s="9" t="s">
        <v>23</v>
      </c>
      <c r="E94" s="9" t="s">
        <v>29</v>
      </c>
      <c r="F94" s="9">
        <v>1</v>
      </c>
      <c r="G94" s="9" t="str">
        <f t="shared" si="2"/>
        <v>Child</v>
      </c>
      <c r="H94" s="13">
        <v>146289.26999999999</v>
      </c>
      <c r="I94" s="9">
        <v>17</v>
      </c>
      <c r="J94" s="9">
        <v>47</v>
      </c>
    </row>
    <row r="95" spans="1:10">
      <c r="A95" s="10" t="s">
        <v>120</v>
      </c>
      <c r="B95" s="10" t="s">
        <v>31</v>
      </c>
      <c r="C95" s="10" t="s">
        <v>41</v>
      </c>
      <c r="D95" s="10" t="s">
        <v>32</v>
      </c>
      <c r="E95" s="10" t="s">
        <v>29</v>
      </c>
      <c r="F95" s="10">
        <v>89</v>
      </c>
      <c r="G95" s="10" t="str">
        <f t="shared" si="2"/>
        <v>Senior Citizen/Elderly</v>
      </c>
      <c r="H95" s="14">
        <v>128840.81</v>
      </c>
      <c r="I95" s="10">
        <v>22</v>
      </c>
      <c r="J95" s="10">
        <v>81</v>
      </c>
    </row>
    <row r="96" spans="1:10">
      <c r="A96" s="9" t="s">
        <v>121</v>
      </c>
      <c r="B96" s="9" t="s">
        <v>22</v>
      </c>
      <c r="C96" s="9" t="s">
        <v>16</v>
      </c>
      <c r="D96" s="9" t="s">
        <v>17</v>
      </c>
      <c r="E96" s="9" t="s">
        <v>29</v>
      </c>
      <c r="F96" s="9">
        <v>48</v>
      </c>
      <c r="G96" s="9" t="str">
        <f t="shared" si="2"/>
        <v>Middle-aged Adult</v>
      </c>
      <c r="H96" s="13">
        <v>19629.22</v>
      </c>
      <c r="I96" s="9">
        <v>2</v>
      </c>
      <c r="J96" s="9">
        <v>95</v>
      </c>
    </row>
    <row r="97" spans="1:10">
      <c r="A97" s="10" t="s">
        <v>122</v>
      </c>
      <c r="B97" s="10" t="s">
        <v>31</v>
      </c>
      <c r="C97" s="10" t="s">
        <v>28</v>
      </c>
      <c r="D97" s="10" t="s">
        <v>32</v>
      </c>
      <c r="E97" s="10" t="s">
        <v>13</v>
      </c>
      <c r="F97" s="10">
        <v>59</v>
      </c>
      <c r="G97" s="10" t="str">
        <f t="shared" si="2"/>
        <v>Middle-aged Adult</v>
      </c>
      <c r="H97" s="14">
        <v>73629.03</v>
      </c>
      <c r="I97" s="10">
        <v>10</v>
      </c>
      <c r="J97" s="10">
        <v>85</v>
      </c>
    </row>
    <row r="98" spans="1:10">
      <c r="A98" s="9" t="s">
        <v>123</v>
      </c>
      <c r="B98" s="9" t="s">
        <v>25</v>
      </c>
      <c r="C98" s="9" t="s">
        <v>16</v>
      </c>
      <c r="D98" s="9" t="s">
        <v>32</v>
      </c>
      <c r="E98" s="9" t="s">
        <v>29</v>
      </c>
      <c r="F98" s="9">
        <v>54</v>
      </c>
      <c r="G98" s="9" t="str">
        <f t="shared" ref="G98:G129" si="3">IF(F98&lt;=12,"Child",
IF(F98&lt;=19,"Teenager/Adolescent",
IF(F98&lt;=29,"Young Adult",
IF(F98&lt;=44,"Adult",
IF(F98&lt;=59,"Middle-aged Adult",
"Senior Citizen/Elderly")))))</f>
        <v>Middle-aged Adult</v>
      </c>
      <c r="H98" s="13">
        <v>100747.7</v>
      </c>
      <c r="I98" s="9">
        <v>12</v>
      </c>
      <c r="J98" s="9">
        <v>74</v>
      </c>
    </row>
    <row r="99" spans="1:10">
      <c r="A99" s="10" t="s">
        <v>124</v>
      </c>
      <c r="B99" s="10" t="s">
        <v>15</v>
      </c>
      <c r="C99" s="10" t="s">
        <v>11</v>
      </c>
      <c r="D99" s="10" t="s">
        <v>12</v>
      </c>
      <c r="E99" s="10" t="s">
        <v>29</v>
      </c>
      <c r="F99" s="10">
        <v>35</v>
      </c>
      <c r="G99" s="10" t="str">
        <f t="shared" si="3"/>
        <v>Adult</v>
      </c>
      <c r="H99" s="14">
        <v>85523.17</v>
      </c>
      <c r="I99" s="10">
        <v>30</v>
      </c>
      <c r="J99" s="10">
        <v>90</v>
      </c>
    </row>
    <row r="100" spans="1:10">
      <c r="A100" s="9" t="s">
        <v>125</v>
      </c>
      <c r="B100" s="9" t="s">
        <v>31</v>
      </c>
      <c r="C100" s="9" t="s">
        <v>16</v>
      </c>
      <c r="D100" s="9" t="s">
        <v>23</v>
      </c>
      <c r="E100" s="9" t="s">
        <v>29</v>
      </c>
      <c r="F100" s="9">
        <v>33</v>
      </c>
      <c r="G100" s="9" t="str">
        <f t="shared" si="3"/>
        <v>Adult</v>
      </c>
      <c r="H100" s="13">
        <v>79151.14</v>
      </c>
      <c r="I100" s="9">
        <v>2</v>
      </c>
      <c r="J100" s="9">
        <v>56</v>
      </c>
    </row>
    <row r="101" spans="1:10">
      <c r="A101" s="10" t="s">
        <v>126</v>
      </c>
      <c r="B101" s="10" t="s">
        <v>36</v>
      </c>
      <c r="C101" s="10" t="s">
        <v>11</v>
      </c>
      <c r="D101" s="10" t="s">
        <v>23</v>
      </c>
      <c r="E101" s="10" t="s">
        <v>13</v>
      </c>
      <c r="F101" s="10">
        <v>30</v>
      </c>
      <c r="G101" s="10" t="str">
        <f t="shared" si="3"/>
        <v>Adult</v>
      </c>
      <c r="H101" s="14">
        <v>115395.67</v>
      </c>
      <c r="I101" s="10">
        <v>11</v>
      </c>
      <c r="J101" s="10">
        <v>74</v>
      </c>
    </row>
    <row r="102" spans="1:10">
      <c r="A102" s="9" t="s">
        <v>127</v>
      </c>
      <c r="B102" s="9" t="s">
        <v>22</v>
      </c>
      <c r="C102" s="9" t="s">
        <v>28</v>
      </c>
      <c r="D102" s="9" t="s">
        <v>12</v>
      </c>
      <c r="E102" s="9" t="s">
        <v>13</v>
      </c>
      <c r="F102" s="9">
        <v>60</v>
      </c>
      <c r="G102" s="9" t="str">
        <f t="shared" si="3"/>
        <v>Senior Citizen/Elderly</v>
      </c>
      <c r="H102" s="13">
        <v>49131.44</v>
      </c>
      <c r="I102" s="9">
        <v>2</v>
      </c>
      <c r="J102" s="9">
        <v>44</v>
      </c>
    </row>
    <row r="103" spans="1:10">
      <c r="A103" s="10" t="s">
        <v>128</v>
      </c>
      <c r="B103" s="10" t="s">
        <v>31</v>
      </c>
      <c r="C103" s="10" t="s">
        <v>11</v>
      </c>
      <c r="D103" s="10" t="s">
        <v>23</v>
      </c>
      <c r="E103" s="10" t="s">
        <v>29</v>
      </c>
      <c r="F103" s="10">
        <v>70</v>
      </c>
      <c r="G103" s="10" t="str">
        <f t="shared" si="3"/>
        <v>Senior Citizen/Elderly</v>
      </c>
      <c r="H103" s="14">
        <v>58132.5</v>
      </c>
      <c r="I103" s="10">
        <v>25</v>
      </c>
      <c r="J103" s="10">
        <v>43</v>
      </c>
    </row>
    <row r="104" spans="1:10">
      <c r="A104" s="9" t="s">
        <v>129</v>
      </c>
      <c r="B104" s="9" t="s">
        <v>36</v>
      </c>
      <c r="C104" s="9" t="s">
        <v>41</v>
      </c>
      <c r="D104" s="9" t="s">
        <v>12</v>
      </c>
      <c r="E104" s="9" t="s">
        <v>13</v>
      </c>
      <c r="F104" s="9">
        <v>6</v>
      </c>
      <c r="G104" s="9" t="str">
        <f t="shared" si="3"/>
        <v>Child</v>
      </c>
      <c r="H104" s="13">
        <v>77311.77</v>
      </c>
      <c r="I104" s="9">
        <v>19</v>
      </c>
      <c r="J104" s="9">
        <v>90</v>
      </c>
    </row>
    <row r="105" spans="1:10">
      <c r="A105" s="10" t="s">
        <v>130</v>
      </c>
      <c r="B105" s="10" t="s">
        <v>25</v>
      </c>
      <c r="C105" s="10" t="s">
        <v>28</v>
      </c>
      <c r="D105" s="10" t="s">
        <v>32</v>
      </c>
      <c r="E105" s="10" t="s">
        <v>29</v>
      </c>
      <c r="F105" s="10">
        <v>70</v>
      </c>
      <c r="G105" s="10" t="str">
        <f t="shared" si="3"/>
        <v>Senior Citizen/Elderly</v>
      </c>
      <c r="H105" s="14">
        <v>14270.62</v>
      </c>
      <c r="I105" s="10">
        <v>24</v>
      </c>
      <c r="J105" s="10">
        <v>43</v>
      </c>
    </row>
    <row r="106" spans="1:10">
      <c r="A106" s="9" t="s">
        <v>131</v>
      </c>
      <c r="B106" s="9" t="s">
        <v>15</v>
      </c>
      <c r="C106" s="9" t="s">
        <v>28</v>
      </c>
      <c r="D106" s="9" t="s">
        <v>26</v>
      </c>
      <c r="E106" s="9" t="s">
        <v>13</v>
      </c>
      <c r="F106" s="9">
        <v>52</v>
      </c>
      <c r="G106" s="9" t="str">
        <f t="shared" si="3"/>
        <v>Middle-aged Adult</v>
      </c>
      <c r="H106" s="13">
        <v>97685.72</v>
      </c>
      <c r="I106" s="9">
        <v>28</v>
      </c>
      <c r="J106" s="9">
        <v>59</v>
      </c>
    </row>
    <row r="107" spans="1:10">
      <c r="A107" s="10" t="s">
        <v>132</v>
      </c>
      <c r="B107" s="10" t="s">
        <v>10</v>
      </c>
      <c r="C107" s="10" t="s">
        <v>16</v>
      </c>
      <c r="D107" s="10" t="s">
        <v>23</v>
      </c>
      <c r="E107" s="10" t="s">
        <v>18</v>
      </c>
      <c r="F107" s="10">
        <v>64</v>
      </c>
      <c r="G107" s="10" t="str">
        <f t="shared" si="3"/>
        <v>Senior Citizen/Elderly</v>
      </c>
      <c r="H107" s="14">
        <v>142687.47</v>
      </c>
      <c r="I107" s="10">
        <v>27</v>
      </c>
      <c r="J107" s="10">
        <v>80</v>
      </c>
    </row>
    <row r="108" spans="1:10">
      <c r="A108" s="9" t="s">
        <v>133</v>
      </c>
      <c r="B108" s="9" t="s">
        <v>31</v>
      </c>
      <c r="C108" s="9" t="s">
        <v>28</v>
      </c>
      <c r="D108" s="9" t="s">
        <v>17</v>
      </c>
      <c r="E108" s="9" t="s">
        <v>29</v>
      </c>
      <c r="F108" s="9">
        <v>35</v>
      </c>
      <c r="G108" s="9" t="str">
        <f t="shared" si="3"/>
        <v>Adult</v>
      </c>
      <c r="H108" s="13">
        <v>36754.51</v>
      </c>
      <c r="I108" s="9">
        <v>27</v>
      </c>
      <c r="J108" s="9">
        <v>49</v>
      </c>
    </row>
    <row r="109" spans="1:10">
      <c r="A109" s="10" t="s">
        <v>134</v>
      </c>
      <c r="B109" s="10" t="s">
        <v>15</v>
      </c>
      <c r="C109" s="10" t="s">
        <v>16</v>
      </c>
      <c r="D109" s="10" t="s">
        <v>17</v>
      </c>
      <c r="E109" s="10" t="s">
        <v>29</v>
      </c>
      <c r="F109" s="10">
        <v>62</v>
      </c>
      <c r="G109" s="10" t="str">
        <f t="shared" si="3"/>
        <v>Senior Citizen/Elderly</v>
      </c>
      <c r="H109" s="14">
        <v>34938.57</v>
      </c>
      <c r="I109" s="10">
        <v>8</v>
      </c>
      <c r="J109" s="10">
        <v>70</v>
      </c>
    </row>
    <row r="110" spans="1:10">
      <c r="A110" s="9" t="s">
        <v>135</v>
      </c>
      <c r="B110" s="9" t="s">
        <v>22</v>
      </c>
      <c r="C110" s="9" t="s">
        <v>28</v>
      </c>
      <c r="D110" s="9" t="s">
        <v>12</v>
      </c>
      <c r="E110" s="9" t="s">
        <v>13</v>
      </c>
      <c r="F110" s="9">
        <v>22</v>
      </c>
      <c r="G110" s="9" t="str">
        <f t="shared" si="3"/>
        <v>Young Adult</v>
      </c>
      <c r="H110" s="13">
        <v>97228.49</v>
      </c>
      <c r="I110" s="9">
        <v>7</v>
      </c>
      <c r="J110" s="9">
        <v>60</v>
      </c>
    </row>
    <row r="111" spans="1:10">
      <c r="A111" s="10" t="s">
        <v>136</v>
      </c>
      <c r="B111" s="10" t="s">
        <v>25</v>
      </c>
      <c r="C111" s="10" t="s">
        <v>28</v>
      </c>
      <c r="D111" s="10" t="s">
        <v>17</v>
      </c>
      <c r="E111" s="10" t="s">
        <v>13</v>
      </c>
      <c r="F111" s="10">
        <v>42</v>
      </c>
      <c r="G111" s="10" t="str">
        <f t="shared" si="3"/>
        <v>Adult</v>
      </c>
      <c r="H111" s="14">
        <v>91441.1</v>
      </c>
      <c r="I111" s="10">
        <v>22</v>
      </c>
      <c r="J111" s="10">
        <v>84</v>
      </c>
    </row>
    <row r="112" spans="1:10">
      <c r="A112" s="9" t="s">
        <v>137</v>
      </c>
      <c r="B112" s="9" t="s">
        <v>10</v>
      </c>
      <c r="C112" s="9" t="s">
        <v>41</v>
      </c>
      <c r="D112" s="9" t="s">
        <v>32</v>
      </c>
      <c r="E112" s="9" t="s">
        <v>13</v>
      </c>
      <c r="F112" s="9">
        <v>24</v>
      </c>
      <c r="G112" s="9" t="str">
        <f t="shared" si="3"/>
        <v>Young Adult</v>
      </c>
      <c r="H112" s="13">
        <v>139624.06</v>
      </c>
      <c r="I112" s="9">
        <v>5</v>
      </c>
      <c r="J112" s="9">
        <v>55</v>
      </c>
    </row>
    <row r="113" spans="1:10">
      <c r="A113" s="10" t="s">
        <v>138</v>
      </c>
      <c r="B113" s="10" t="s">
        <v>25</v>
      </c>
      <c r="C113" s="10" t="s">
        <v>16</v>
      </c>
      <c r="D113" s="10" t="s">
        <v>12</v>
      </c>
      <c r="E113" s="10" t="s">
        <v>29</v>
      </c>
      <c r="F113" s="10">
        <v>17</v>
      </c>
      <c r="G113" s="10" t="str">
        <f t="shared" si="3"/>
        <v>Teenager/Adolescent</v>
      </c>
      <c r="H113" s="14">
        <v>86650.5</v>
      </c>
      <c r="I113" s="10">
        <v>3</v>
      </c>
      <c r="J113" s="10">
        <v>53</v>
      </c>
    </row>
    <row r="114" spans="1:10">
      <c r="A114" s="9" t="s">
        <v>139</v>
      </c>
      <c r="B114" s="9" t="s">
        <v>31</v>
      </c>
      <c r="C114" s="9" t="s">
        <v>11</v>
      </c>
      <c r="D114" s="9" t="s">
        <v>17</v>
      </c>
      <c r="E114" s="9" t="s">
        <v>18</v>
      </c>
      <c r="F114" s="9">
        <v>75</v>
      </c>
      <c r="G114" s="9" t="str">
        <f t="shared" si="3"/>
        <v>Senior Citizen/Elderly</v>
      </c>
      <c r="H114" s="13">
        <v>85517.09</v>
      </c>
      <c r="I114" s="9">
        <v>6</v>
      </c>
      <c r="J114" s="9">
        <v>79</v>
      </c>
    </row>
    <row r="115" spans="1:10">
      <c r="A115" s="10" t="s">
        <v>140</v>
      </c>
      <c r="B115" s="10" t="s">
        <v>10</v>
      </c>
      <c r="C115" s="10" t="s">
        <v>11</v>
      </c>
      <c r="D115" s="10" t="s">
        <v>17</v>
      </c>
      <c r="E115" s="10" t="s">
        <v>13</v>
      </c>
      <c r="F115" s="10">
        <v>47</v>
      </c>
      <c r="G115" s="10" t="str">
        <f t="shared" si="3"/>
        <v>Middle-aged Adult</v>
      </c>
      <c r="H115" s="14">
        <v>134120.62</v>
      </c>
      <c r="I115" s="10">
        <v>11</v>
      </c>
      <c r="J115" s="10">
        <v>92</v>
      </c>
    </row>
    <row r="116" spans="1:10">
      <c r="A116" s="9" t="s">
        <v>141</v>
      </c>
      <c r="B116" s="9" t="s">
        <v>22</v>
      </c>
      <c r="C116" s="9" t="s">
        <v>41</v>
      </c>
      <c r="D116" s="9" t="s">
        <v>23</v>
      </c>
      <c r="E116" s="9" t="s">
        <v>29</v>
      </c>
      <c r="F116" s="9">
        <v>81</v>
      </c>
      <c r="G116" s="9" t="str">
        <f t="shared" si="3"/>
        <v>Senior Citizen/Elderly</v>
      </c>
      <c r="H116" s="13">
        <v>22593.06</v>
      </c>
      <c r="I116" s="9">
        <v>6</v>
      </c>
      <c r="J116" s="9">
        <v>67</v>
      </c>
    </row>
    <row r="117" spans="1:10">
      <c r="A117" s="10" t="s">
        <v>142</v>
      </c>
      <c r="B117" s="10" t="s">
        <v>10</v>
      </c>
      <c r="C117" s="10" t="s">
        <v>28</v>
      </c>
      <c r="D117" s="10" t="s">
        <v>23</v>
      </c>
      <c r="E117" s="10" t="s">
        <v>18</v>
      </c>
      <c r="F117" s="10">
        <v>20</v>
      </c>
      <c r="G117" s="10" t="str">
        <f t="shared" si="3"/>
        <v>Young Adult</v>
      </c>
      <c r="H117" s="14">
        <v>88741.64</v>
      </c>
      <c r="I117" s="10">
        <v>26</v>
      </c>
      <c r="J117" s="10">
        <v>99</v>
      </c>
    </row>
    <row r="118" spans="1:10">
      <c r="A118" s="9" t="s">
        <v>143</v>
      </c>
      <c r="B118" s="9" t="s">
        <v>10</v>
      </c>
      <c r="C118" s="9" t="s">
        <v>16</v>
      </c>
      <c r="D118" s="9" t="s">
        <v>17</v>
      </c>
      <c r="E118" s="9" t="s">
        <v>18</v>
      </c>
      <c r="F118" s="9">
        <v>14</v>
      </c>
      <c r="G118" s="9" t="str">
        <f t="shared" si="3"/>
        <v>Teenager/Adolescent</v>
      </c>
      <c r="H118" s="13">
        <v>10917.19</v>
      </c>
      <c r="I118" s="9">
        <v>22</v>
      </c>
      <c r="J118" s="9">
        <v>43</v>
      </c>
    </row>
    <row r="119" spans="1:10">
      <c r="A119" s="10" t="s">
        <v>144</v>
      </c>
      <c r="B119" s="10" t="s">
        <v>10</v>
      </c>
      <c r="C119" s="10" t="s">
        <v>41</v>
      </c>
      <c r="D119" s="10" t="s">
        <v>32</v>
      </c>
      <c r="E119" s="10" t="s">
        <v>13</v>
      </c>
      <c r="F119" s="10">
        <v>30</v>
      </c>
      <c r="G119" s="10" t="str">
        <f t="shared" si="3"/>
        <v>Adult</v>
      </c>
      <c r="H119" s="14">
        <v>97613.71</v>
      </c>
      <c r="I119" s="10">
        <v>24</v>
      </c>
      <c r="J119" s="10">
        <v>72</v>
      </c>
    </row>
    <row r="120" spans="1:10">
      <c r="A120" s="9" t="s">
        <v>145</v>
      </c>
      <c r="B120" s="9" t="s">
        <v>36</v>
      </c>
      <c r="C120" s="9" t="s">
        <v>41</v>
      </c>
      <c r="D120" s="9" t="s">
        <v>23</v>
      </c>
      <c r="E120" s="9" t="s">
        <v>13</v>
      </c>
      <c r="F120" s="9">
        <v>81</v>
      </c>
      <c r="G120" s="9" t="str">
        <f t="shared" si="3"/>
        <v>Senior Citizen/Elderly</v>
      </c>
      <c r="H120" s="13">
        <v>135711.26999999999</v>
      </c>
      <c r="I120" s="9">
        <v>14</v>
      </c>
      <c r="J120" s="9">
        <v>99</v>
      </c>
    </row>
    <row r="121" spans="1:10">
      <c r="A121" s="10" t="s">
        <v>146</v>
      </c>
      <c r="B121" s="10" t="s">
        <v>15</v>
      </c>
      <c r="C121" s="10" t="s">
        <v>16</v>
      </c>
      <c r="D121" s="10" t="s">
        <v>23</v>
      </c>
      <c r="E121" s="10" t="s">
        <v>13</v>
      </c>
      <c r="F121" s="10">
        <v>48</v>
      </c>
      <c r="G121" s="10" t="str">
        <f t="shared" si="3"/>
        <v>Middle-aged Adult</v>
      </c>
      <c r="H121" s="14">
        <v>117464.18</v>
      </c>
      <c r="I121" s="10">
        <v>2</v>
      </c>
      <c r="J121" s="10">
        <v>61</v>
      </c>
    </row>
    <row r="122" spans="1:10">
      <c r="A122" s="9" t="s">
        <v>147</v>
      </c>
      <c r="B122" s="9" t="s">
        <v>22</v>
      </c>
      <c r="C122" s="9" t="s">
        <v>16</v>
      </c>
      <c r="D122" s="9" t="s">
        <v>23</v>
      </c>
      <c r="E122" s="9" t="s">
        <v>29</v>
      </c>
      <c r="F122" s="9">
        <v>45</v>
      </c>
      <c r="G122" s="9" t="str">
        <f t="shared" si="3"/>
        <v>Middle-aged Adult</v>
      </c>
      <c r="H122" s="13">
        <v>89474.55</v>
      </c>
      <c r="I122" s="9">
        <v>21</v>
      </c>
      <c r="J122" s="9">
        <v>64</v>
      </c>
    </row>
    <row r="123" spans="1:10">
      <c r="A123" s="10" t="s">
        <v>148</v>
      </c>
      <c r="B123" s="10" t="s">
        <v>10</v>
      </c>
      <c r="C123" s="10" t="s">
        <v>41</v>
      </c>
      <c r="D123" s="10" t="s">
        <v>32</v>
      </c>
      <c r="E123" s="10" t="s">
        <v>29</v>
      </c>
      <c r="F123" s="10">
        <v>1</v>
      </c>
      <c r="G123" s="10" t="str">
        <f t="shared" si="3"/>
        <v>Child</v>
      </c>
      <c r="H123" s="14">
        <v>105954.09</v>
      </c>
      <c r="I123" s="10">
        <v>12</v>
      </c>
      <c r="J123" s="10">
        <v>95</v>
      </c>
    </row>
    <row r="124" spans="1:10">
      <c r="A124" s="9" t="s">
        <v>149</v>
      </c>
      <c r="B124" s="9" t="s">
        <v>15</v>
      </c>
      <c r="C124" s="9" t="s">
        <v>28</v>
      </c>
      <c r="D124" s="9" t="s">
        <v>26</v>
      </c>
      <c r="E124" s="9" t="s">
        <v>13</v>
      </c>
      <c r="F124" s="9">
        <v>30</v>
      </c>
      <c r="G124" s="9" t="str">
        <f t="shared" si="3"/>
        <v>Adult</v>
      </c>
      <c r="H124" s="13">
        <v>91267.91</v>
      </c>
      <c r="I124" s="9">
        <v>17</v>
      </c>
      <c r="J124" s="9">
        <v>76</v>
      </c>
    </row>
    <row r="125" spans="1:10">
      <c r="A125" s="10" t="s">
        <v>150</v>
      </c>
      <c r="B125" s="10" t="s">
        <v>36</v>
      </c>
      <c r="C125" s="10" t="s">
        <v>11</v>
      </c>
      <c r="D125" s="10" t="s">
        <v>26</v>
      </c>
      <c r="E125" s="10" t="s">
        <v>13</v>
      </c>
      <c r="F125" s="10">
        <v>3</v>
      </c>
      <c r="G125" s="10" t="str">
        <f t="shared" si="3"/>
        <v>Child</v>
      </c>
      <c r="H125" s="14">
        <v>46506.94</v>
      </c>
      <c r="I125" s="10">
        <v>9</v>
      </c>
      <c r="J125" s="10">
        <v>72</v>
      </c>
    </row>
    <row r="126" spans="1:10">
      <c r="A126" s="9" t="s">
        <v>151</v>
      </c>
      <c r="B126" s="9" t="s">
        <v>31</v>
      </c>
      <c r="C126" s="9" t="s">
        <v>41</v>
      </c>
      <c r="D126" s="9" t="s">
        <v>17</v>
      </c>
      <c r="E126" s="9" t="s">
        <v>13</v>
      </c>
      <c r="F126" s="9">
        <v>78</v>
      </c>
      <c r="G126" s="9" t="str">
        <f t="shared" si="3"/>
        <v>Senior Citizen/Elderly</v>
      </c>
      <c r="H126" s="13">
        <v>40568.300000000003</v>
      </c>
      <c r="I126" s="9">
        <v>18</v>
      </c>
      <c r="J126" s="9">
        <v>91</v>
      </c>
    </row>
    <row r="127" spans="1:10">
      <c r="A127" s="10" t="s">
        <v>152</v>
      </c>
      <c r="B127" s="10" t="s">
        <v>22</v>
      </c>
      <c r="C127" s="10" t="s">
        <v>11</v>
      </c>
      <c r="D127" s="10" t="s">
        <v>32</v>
      </c>
      <c r="E127" s="10" t="s">
        <v>18</v>
      </c>
      <c r="F127" s="10">
        <v>35</v>
      </c>
      <c r="G127" s="10" t="str">
        <f t="shared" si="3"/>
        <v>Adult</v>
      </c>
      <c r="H127" s="14">
        <v>132265.98000000001</v>
      </c>
      <c r="I127" s="10">
        <v>7</v>
      </c>
      <c r="J127" s="10">
        <v>45</v>
      </c>
    </row>
    <row r="128" spans="1:10">
      <c r="A128" s="9" t="s">
        <v>153</v>
      </c>
      <c r="B128" s="9" t="s">
        <v>15</v>
      </c>
      <c r="C128" s="9" t="s">
        <v>41</v>
      </c>
      <c r="D128" s="9" t="s">
        <v>23</v>
      </c>
      <c r="E128" s="9" t="s">
        <v>18</v>
      </c>
      <c r="F128" s="9">
        <v>88</v>
      </c>
      <c r="G128" s="9" t="str">
        <f t="shared" si="3"/>
        <v>Senior Citizen/Elderly</v>
      </c>
      <c r="H128" s="13">
        <v>50993.47</v>
      </c>
      <c r="I128" s="9">
        <v>4</v>
      </c>
      <c r="J128" s="9">
        <v>82</v>
      </c>
    </row>
    <row r="129" spans="1:10">
      <c r="A129" s="10" t="s">
        <v>154</v>
      </c>
      <c r="B129" s="10" t="s">
        <v>22</v>
      </c>
      <c r="C129" s="10" t="s">
        <v>41</v>
      </c>
      <c r="D129" s="10" t="s">
        <v>17</v>
      </c>
      <c r="E129" s="10" t="s">
        <v>18</v>
      </c>
      <c r="F129" s="10">
        <v>7</v>
      </c>
      <c r="G129" s="10" t="str">
        <f t="shared" si="3"/>
        <v>Child</v>
      </c>
      <c r="H129" s="14">
        <v>135590.48000000001</v>
      </c>
      <c r="I129" s="10">
        <v>6</v>
      </c>
      <c r="J129" s="10">
        <v>46</v>
      </c>
    </row>
    <row r="130" spans="1:10">
      <c r="A130" s="9" t="s">
        <v>155</v>
      </c>
      <c r="B130" s="9" t="s">
        <v>15</v>
      </c>
      <c r="C130" s="9" t="s">
        <v>41</v>
      </c>
      <c r="D130" s="9" t="s">
        <v>32</v>
      </c>
      <c r="E130" s="9" t="s">
        <v>13</v>
      </c>
      <c r="F130" s="9">
        <v>73</v>
      </c>
      <c r="G130" s="9" t="str">
        <f t="shared" ref="G130:G161" si="4">IF(F130&lt;=12,"Child",
IF(F130&lt;=19,"Teenager/Adolescent",
IF(F130&lt;=29,"Young Adult",
IF(F130&lt;=44,"Adult",
IF(F130&lt;=59,"Middle-aged Adult",
"Senior Citizen/Elderly")))))</f>
        <v>Senior Citizen/Elderly</v>
      </c>
      <c r="H130" s="13">
        <v>148956.56</v>
      </c>
      <c r="I130" s="9">
        <v>6</v>
      </c>
      <c r="J130" s="9">
        <v>100</v>
      </c>
    </row>
    <row r="131" spans="1:10">
      <c r="A131" s="10" t="s">
        <v>156</v>
      </c>
      <c r="B131" s="10" t="s">
        <v>25</v>
      </c>
      <c r="C131" s="10" t="s">
        <v>16</v>
      </c>
      <c r="D131" s="10" t="s">
        <v>12</v>
      </c>
      <c r="E131" s="10" t="s">
        <v>18</v>
      </c>
      <c r="F131" s="10">
        <v>83</v>
      </c>
      <c r="G131" s="10" t="str">
        <f t="shared" si="4"/>
        <v>Senior Citizen/Elderly</v>
      </c>
      <c r="H131" s="14">
        <v>71584.960000000006</v>
      </c>
      <c r="I131" s="10">
        <v>26</v>
      </c>
      <c r="J131" s="10">
        <v>55</v>
      </c>
    </row>
    <row r="132" spans="1:10">
      <c r="A132" s="9" t="s">
        <v>157</v>
      </c>
      <c r="B132" s="9" t="s">
        <v>22</v>
      </c>
      <c r="C132" s="9" t="s">
        <v>28</v>
      </c>
      <c r="D132" s="9" t="s">
        <v>17</v>
      </c>
      <c r="E132" s="9" t="s">
        <v>29</v>
      </c>
      <c r="F132" s="9">
        <v>37</v>
      </c>
      <c r="G132" s="9" t="str">
        <f t="shared" si="4"/>
        <v>Adult</v>
      </c>
      <c r="H132" s="13">
        <v>78613.16</v>
      </c>
      <c r="I132" s="9">
        <v>20</v>
      </c>
      <c r="J132" s="9">
        <v>85</v>
      </c>
    </row>
    <row r="133" spans="1:10">
      <c r="A133" s="10" t="s">
        <v>158</v>
      </c>
      <c r="B133" s="10" t="s">
        <v>22</v>
      </c>
      <c r="C133" s="10" t="s">
        <v>11</v>
      </c>
      <c r="D133" s="10" t="s">
        <v>23</v>
      </c>
      <c r="E133" s="10" t="s">
        <v>18</v>
      </c>
      <c r="F133" s="10">
        <v>53</v>
      </c>
      <c r="G133" s="10" t="str">
        <f t="shared" si="4"/>
        <v>Middle-aged Adult</v>
      </c>
      <c r="H133" s="14">
        <v>103548.4</v>
      </c>
      <c r="I133" s="10">
        <v>27</v>
      </c>
      <c r="J133" s="10">
        <v>74</v>
      </c>
    </row>
    <row r="134" spans="1:10">
      <c r="A134" s="9" t="s">
        <v>159</v>
      </c>
      <c r="B134" s="9" t="s">
        <v>31</v>
      </c>
      <c r="C134" s="9" t="s">
        <v>11</v>
      </c>
      <c r="D134" s="9" t="s">
        <v>32</v>
      </c>
      <c r="E134" s="9" t="s">
        <v>29</v>
      </c>
      <c r="F134" s="9">
        <v>50</v>
      </c>
      <c r="G134" s="9" t="str">
        <f t="shared" si="4"/>
        <v>Middle-aged Adult</v>
      </c>
      <c r="H134" s="13">
        <v>62134.18</v>
      </c>
      <c r="I134" s="9">
        <v>13</v>
      </c>
      <c r="J134" s="9">
        <v>40</v>
      </c>
    </row>
    <row r="135" spans="1:10">
      <c r="A135" s="10" t="s">
        <v>160</v>
      </c>
      <c r="B135" s="10" t="s">
        <v>36</v>
      </c>
      <c r="C135" s="10" t="s">
        <v>41</v>
      </c>
      <c r="D135" s="10" t="s">
        <v>32</v>
      </c>
      <c r="E135" s="10" t="s">
        <v>18</v>
      </c>
      <c r="F135" s="10">
        <v>7</v>
      </c>
      <c r="G135" s="10" t="str">
        <f t="shared" si="4"/>
        <v>Child</v>
      </c>
      <c r="H135" s="14">
        <v>59235.13</v>
      </c>
      <c r="I135" s="10">
        <v>12</v>
      </c>
      <c r="J135" s="10">
        <v>42</v>
      </c>
    </row>
    <row r="136" spans="1:10">
      <c r="A136" s="9" t="s">
        <v>161</v>
      </c>
      <c r="B136" s="9" t="s">
        <v>10</v>
      </c>
      <c r="C136" s="9" t="s">
        <v>28</v>
      </c>
      <c r="D136" s="9" t="s">
        <v>32</v>
      </c>
      <c r="E136" s="9" t="s">
        <v>18</v>
      </c>
      <c r="F136" s="9">
        <v>38</v>
      </c>
      <c r="G136" s="9" t="str">
        <f t="shared" si="4"/>
        <v>Adult</v>
      </c>
      <c r="H136" s="13">
        <v>118022.05</v>
      </c>
      <c r="I136" s="9">
        <v>17</v>
      </c>
      <c r="J136" s="9">
        <v>79</v>
      </c>
    </row>
    <row r="137" spans="1:10">
      <c r="A137" s="10" t="s">
        <v>162</v>
      </c>
      <c r="B137" s="10" t="s">
        <v>25</v>
      </c>
      <c r="C137" s="10" t="s">
        <v>11</v>
      </c>
      <c r="D137" s="10" t="s">
        <v>26</v>
      </c>
      <c r="E137" s="10" t="s">
        <v>13</v>
      </c>
      <c r="F137" s="10">
        <v>49</v>
      </c>
      <c r="G137" s="10" t="str">
        <f t="shared" si="4"/>
        <v>Middle-aged Adult</v>
      </c>
      <c r="H137" s="14">
        <v>127750.62</v>
      </c>
      <c r="I137" s="10">
        <v>18</v>
      </c>
      <c r="J137" s="10">
        <v>60</v>
      </c>
    </row>
    <row r="138" spans="1:10">
      <c r="A138" s="9" t="s">
        <v>163</v>
      </c>
      <c r="B138" s="9" t="s">
        <v>15</v>
      </c>
      <c r="C138" s="9" t="s">
        <v>28</v>
      </c>
      <c r="D138" s="9" t="s">
        <v>17</v>
      </c>
      <c r="E138" s="9" t="s">
        <v>29</v>
      </c>
      <c r="F138" s="9">
        <v>27</v>
      </c>
      <c r="G138" s="9" t="str">
        <f t="shared" si="4"/>
        <v>Young Adult</v>
      </c>
      <c r="H138" s="13">
        <v>79666.86</v>
      </c>
      <c r="I138" s="9">
        <v>16</v>
      </c>
      <c r="J138" s="9">
        <v>85</v>
      </c>
    </row>
    <row r="139" spans="1:10">
      <c r="A139" s="10" t="s">
        <v>164</v>
      </c>
      <c r="B139" s="10" t="s">
        <v>22</v>
      </c>
      <c r="C139" s="10" t="s">
        <v>41</v>
      </c>
      <c r="D139" s="10" t="s">
        <v>12</v>
      </c>
      <c r="E139" s="10" t="s">
        <v>13</v>
      </c>
      <c r="F139" s="10">
        <v>65</v>
      </c>
      <c r="G139" s="10" t="str">
        <f t="shared" si="4"/>
        <v>Senior Citizen/Elderly</v>
      </c>
      <c r="H139" s="14">
        <v>120956.04</v>
      </c>
      <c r="I139" s="10">
        <v>25</v>
      </c>
      <c r="J139" s="10">
        <v>95</v>
      </c>
    </row>
    <row r="140" spans="1:10">
      <c r="A140" s="9" t="s">
        <v>165</v>
      </c>
      <c r="B140" s="9" t="s">
        <v>10</v>
      </c>
      <c r="C140" s="9" t="s">
        <v>28</v>
      </c>
      <c r="D140" s="9" t="s">
        <v>26</v>
      </c>
      <c r="E140" s="9" t="s">
        <v>18</v>
      </c>
      <c r="F140" s="9">
        <v>58</v>
      </c>
      <c r="G140" s="9" t="str">
        <f t="shared" si="4"/>
        <v>Middle-aged Adult</v>
      </c>
      <c r="H140" s="13">
        <v>100338.81</v>
      </c>
      <c r="I140" s="9">
        <v>7</v>
      </c>
      <c r="J140" s="9">
        <v>59</v>
      </c>
    </row>
    <row r="141" spans="1:10">
      <c r="A141" s="10" t="s">
        <v>166</v>
      </c>
      <c r="B141" s="10" t="s">
        <v>31</v>
      </c>
      <c r="C141" s="10" t="s">
        <v>28</v>
      </c>
      <c r="D141" s="10" t="s">
        <v>12</v>
      </c>
      <c r="E141" s="10" t="s">
        <v>13</v>
      </c>
      <c r="F141" s="10">
        <v>22</v>
      </c>
      <c r="G141" s="10" t="str">
        <f t="shared" si="4"/>
        <v>Young Adult</v>
      </c>
      <c r="H141" s="14">
        <v>120621.62</v>
      </c>
      <c r="I141" s="10">
        <v>21</v>
      </c>
      <c r="J141" s="10">
        <v>74</v>
      </c>
    </row>
    <row r="142" spans="1:10">
      <c r="A142" s="9" t="s">
        <v>167</v>
      </c>
      <c r="B142" s="9" t="s">
        <v>10</v>
      </c>
      <c r="C142" s="9" t="s">
        <v>28</v>
      </c>
      <c r="D142" s="9" t="s">
        <v>23</v>
      </c>
      <c r="E142" s="9" t="s">
        <v>18</v>
      </c>
      <c r="F142" s="9">
        <v>10</v>
      </c>
      <c r="G142" s="9" t="str">
        <f t="shared" si="4"/>
        <v>Child</v>
      </c>
      <c r="H142" s="13">
        <v>21143.75</v>
      </c>
      <c r="I142" s="9">
        <v>2</v>
      </c>
      <c r="J142" s="9">
        <v>42</v>
      </c>
    </row>
    <row r="143" spans="1:10">
      <c r="A143" s="10" t="s">
        <v>168</v>
      </c>
      <c r="B143" s="10" t="s">
        <v>31</v>
      </c>
      <c r="C143" s="10" t="s">
        <v>28</v>
      </c>
      <c r="D143" s="10" t="s">
        <v>32</v>
      </c>
      <c r="E143" s="10" t="s">
        <v>29</v>
      </c>
      <c r="F143" s="10">
        <v>37</v>
      </c>
      <c r="G143" s="10" t="str">
        <f t="shared" si="4"/>
        <v>Adult</v>
      </c>
      <c r="H143" s="14">
        <v>58168.06</v>
      </c>
      <c r="I143" s="10">
        <v>3</v>
      </c>
      <c r="J143" s="10">
        <v>84</v>
      </c>
    </row>
    <row r="144" spans="1:10">
      <c r="A144" s="9" t="s">
        <v>169</v>
      </c>
      <c r="B144" s="9" t="s">
        <v>15</v>
      </c>
      <c r="C144" s="9" t="s">
        <v>41</v>
      </c>
      <c r="D144" s="9" t="s">
        <v>32</v>
      </c>
      <c r="E144" s="9" t="s">
        <v>13</v>
      </c>
      <c r="F144" s="9">
        <v>57</v>
      </c>
      <c r="G144" s="9" t="str">
        <f t="shared" si="4"/>
        <v>Middle-aged Adult</v>
      </c>
      <c r="H144" s="13">
        <v>121600.57</v>
      </c>
      <c r="I144" s="9">
        <v>19</v>
      </c>
      <c r="J144" s="9">
        <v>94</v>
      </c>
    </row>
    <row r="145" spans="1:10">
      <c r="A145" s="10" t="s">
        <v>170</v>
      </c>
      <c r="B145" s="10" t="s">
        <v>25</v>
      </c>
      <c r="C145" s="10" t="s">
        <v>16</v>
      </c>
      <c r="D145" s="10" t="s">
        <v>26</v>
      </c>
      <c r="E145" s="10" t="s">
        <v>18</v>
      </c>
      <c r="F145" s="10">
        <v>26</v>
      </c>
      <c r="G145" s="10" t="str">
        <f t="shared" si="4"/>
        <v>Young Adult</v>
      </c>
      <c r="H145" s="14">
        <v>60409.31</v>
      </c>
      <c r="I145" s="10">
        <v>25</v>
      </c>
      <c r="J145" s="10">
        <v>94</v>
      </c>
    </row>
    <row r="146" spans="1:10">
      <c r="A146" s="9" t="s">
        <v>171</v>
      </c>
      <c r="B146" s="9" t="s">
        <v>10</v>
      </c>
      <c r="C146" s="9" t="s">
        <v>16</v>
      </c>
      <c r="D146" s="9" t="s">
        <v>23</v>
      </c>
      <c r="E146" s="9" t="s">
        <v>18</v>
      </c>
      <c r="F146" s="9">
        <v>51</v>
      </c>
      <c r="G146" s="9" t="str">
        <f t="shared" si="4"/>
        <v>Middle-aged Adult</v>
      </c>
      <c r="H146" s="13">
        <v>148766.01</v>
      </c>
      <c r="I146" s="9">
        <v>21</v>
      </c>
      <c r="J146" s="9">
        <v>76</v>
      </c>
    </row>
    <row r="147" spans="1:10">
      <c r="A147" s="10" t="s">
        <v>172</v>
      </c>
      <c r="B147" s="10" t="s">
        <v>10</v>
      </c>
      <c r="C147" s="10" t="s">
        <v>28</v>
      </c>
      <c r="D147" s="10" t="s">
        <v>26</v>
      </c>
      <c r="E147" s="10" t="s">
        <v>18</v>
      </c>
      <c r="F147" s="10">
        <v>1</v>
      </c>
      <c r="G147" s="10" t="str">
        <f t="shared" si="4"/>
        <v>Child</v>
      </c>
      <c r="H147" s="14">
        <v>46211.03</v>
      </c>
      <c r="I147" s="10">
        <v>4</v>
      </c>
      <c r="J147" s="10">
        <v>97</v>
      </c>
    </row>
    <row r="148" spans="1:10">
      <c r="A148" s="9" t="s">
        <v>173</v>
      </c>
      <c r="B148" s="9" t="s">
        <v>36</v>
      </c>
      <c r="C148" s="9" t="s">
        <v>11</v>
      </c>
      <c r="D148" s="9" t="s">
        <v>26</v>
      </c>
      <c r="E148" s="9" t="s">
        <v>18</v>
      </c>
      <c r="F148" s="9">
        <v>61</v>
      </c>
      <c r="G148" s="9" t="str">
        <f t="shared" si="4"/>
        <v>Senior Citizen/Elderly</v>
      </c>
      <c r="H148" s="13">
        <v>32781.94</v>
      </c>
      <c r="I148" s="9">
        <v>1</v>
      </c>
      <c r="J148" s="9">
        <v>83</v>
      </c>
    </row>
    <row r="149" spans="1:10">
      <c r="A149" s="10" t="s">
        <v>174</v>
      </c>
      <c r="B149" s="10" t="s">
        <v>36</v>
      </c>
      <c r="C149" s="10" t="s">
        <v>16</v>
      </c>
      <c r="D149" s="10" t="s">
        <v>17</v>
      </c>
      <c r="E149" s="10" t="s">
        <v>29</v>
      </c>
      <c r="F149" s="10">
        <v>34</v>
      </c>
      <c r="G149" s="10" t="str">
        <f t="shared" si="4"/>
        <v>Adult</v>
      </c>
      <c r="H149" s="14">
        <v>139264.72</v>
      </c>
      <c r="I149" s="10">
        <v>14</v>
      </c>
      <c r="J149" s="10">
        <v>72</v>
      </c>
    </row>
    <row r="150" spans="1:10">
      <c r="A150" s="9" t="s">
        <v>175</v>
      </c>
      <c r="B150" s="9" t="s">
        <v>15</v>
      </c>
      <c r="C150" s="9" t="s">
        <v>11</v>
      </c>
      <c r="D150" s="9" t="s">
        <v>32</v>
      </c>
      <c r="E150" s="9" t="s">
        <v>13</v>
      </c>
      <c r="F150" s="9">
        <v>78</v>
      </c>
      <c r="G150" s="9" t="str">
        <f t="shared" si="4"/>
        <v>Senior Citizen/Elderly</v>
      </c>
      <c r="H150" s="13">
        <v>15165.98</v>
      </c>
      <c r="I150" s="9">
        <v>25</v>
      </c>
      <c r="J150" s="9">
        <v>86</v>
      </c>
    </row>
    <row r="151" spans="1:10">
      <c r="A151" s="10" t="s">
        <v>176</v>
      </c>
      <c r="B151" s="10" t="s">
        <v>10</v>
      </c>
      <c r="C151" s="10" t="s">
        <v>28</v>
      </c>
      <c r="D151" s="10" t="s">
        <v>17</v>
      </c>
      <c r="E151" s="10" t="s">
        <v>18</v>
      </c>
      <c r="F151" s="10">
        <v>73</v>
      </c>
      <c r="G151" s="10" t="str">
        <f t="shared" si="4"/>
        <v>Senior Citizen/Elderly</v>
      </c>
      <c r="H151" s="14">
        <v>133910.69</v>
      </c>
      <c r="I151" s="10">
        <v>22</v>
      </c>
      <c r="J151" s="10">
        <v>87</v>
      </c>
    </row>
    <row r="152" spans="1:10">
      <c r="A152" s="9" t="s">
        <v>177</v>
      </c>
      <c r="B152" s="9" t="s">
        <v>25</v>
      </c>
      <c r="C152" s="9" t="s">
        <v>28</v>
      </c>
      <c r="D152" s="9" t="s">
        <v>12</v>
      </c>
      <c r="E152" s="9" t="s">
        <v>18</v>
      </c>
      <c r="F152" s="9">
        <v>8</v>
      </c>
      <c r="G152" s="9" t="str">
        <f t="shared" si="4"/>
        <v>Child</v>
      </c>
      <c r="H152" s="13">
        <v>82835.539999999994</v>
      </c>
      <c r="I152" s="9">
        <v>24</v>
      </c>
      <c r="J152" s="9">
        <v>94</v>
      </c>
    </row>
    <row r="153" spans="1:10">
      <c r="A153" s="10" t="s">
        <v>178</v>
      </c>
      <c r="B153" s="10" t="s">
        <v>10</v>
      </c>
      <c r="C153" s="10" t="s">
        <v>16</v>
      </c>
      <c r="D153" s="10" t="s">
        <v>32</v>
      </c>
      <c r="E153" s="10" t="s">
        <v>18</v>
      </c>
      <c r="F153" s="10">
        <v>16</v>
      </c>
      <c r="G153" s="10" t="str">
        <f t="shared" si="4"/>
        <v>Teenager/Adolescent</v>
      </c>
      <c r="H153" s="14">
        <v>109945.06</v>
      </c>
      <c r="I153" s="10">
        <v>23</v>
      </c>
      <c r="J153" s="10">
        <v>76</v>
      </c>
    </row>
    <row r="154" spans="1:10">
      <c r="A154" s="9" t="s">
        <v>179</v>
      </c>
      <c r="B154" s="9" t="s">
        <v>10</v>
      </c>
      <c r="C154" s="9" t="s">
        <v>16</v>
      </c>
      <c r="D154" s="9" t="s">
        <v>26</v>
      </c>
      <c r="E154" s="9" t="s">
        <v>29</v>
      </c>
      <c r="F154" s="9">
        <v>3</v>
      </c>
      <c r="G154" s="9" t="str">
        <f t="shared" si="4"/>
        <v>Child</v>
      </c>
      <c r="H154" s="13">
        <v>40894.400000000001</v>
      </c>
      <c r="I154" s="9">
        <v>20</v>
      </c>
      <c r="J154" s="9">
        <v>46</v>
      </c>
    </row>
    <row r="155" spans="1:10">
      <c r="A155" s="10" t="s">
        <v>180</v>
      </c>
      <c r="B155" s="10" t="s">
        <v>10</v>
      </c>
      <c r="C155" s="10" t="s">
        <v>16</v>
      </c>
      <c r="D155" s="10" t="s">
        <v>26</v>
      </c>
      <c r="E155" s="10" t="s">
        <v>29</v>
      </c>
      <c r="F155" s="10">
        <v>28</v>
      </c>
      <c r="G155" s="10" t="str">
        <f t="shared" si="4"/>
        <v>Young Adult</v>
      </c>
      <c r="H155" s="14">
        <v>5522.04</v>
      </c>
      <c r="I155" s="10">
        <v>20</v>
      </c>
      <c r="J155" s="10">
        <v>95</v>
      </c>
    </row>
    <row r="156" spans="1:10">
      <c r="A156" s="9" t="s">
        <v>181</v>
      </c>
      <c r="B156" s="9" t="s">
        <v>22</v>
      </c>
      <c r="C156" s="9" t="s">
        <v>41</v>
      </c>
      <c r="D156" s="9" t="s">
        <v>26</v>
      </c>
      <c r="E156" s="9" t="s">
        <v>18</v>
      </c>
      <c r="F156" s="9">
        <v>38</v>
      </c>
      <c r="G156" s="9" t="str">
        <f t="shared" si="4"/>
        <v>Adult</v>
      </c>
      <c r="H156" s="13">
        <v>121567.96</v>
      </c>
      <c r="I156" s="9">
        <v>26</v>
      </c>
      <c r="J156" s="9">
        <v>65</v>
      </c>
    </row>
    <row r="157" spans="1:10">
      <c r="A157" s="10" t="s">
        <v>182</v>
      </c>
      <c r="B157" s="10" t="s">
        <v>10</v>
      </c>
      <c r="C157" s="10" t="s">
        <v>41</v>
      </c>
      <c r="D157" s="10" t="s">
        <v>32</v>
      </c>
      <c r="E157" s="10" t="s">
        <v>13</v>
      </c>
      <c r="F157" s="10">
        <v>2</v>
      </c>
      <c r="G157" s="10" t="str">
        <f t="shared" si="4"/>
        <v>Child</v>
      </c>
      <c r="H157" s="14">
        <v>14606.74</v>
      </c>
      <c r="I157" s="10">
        <v>30</v>
      </c>
      <c r="J157" s="10">
        <v>75</v>
      </c>
    </row>
    <row r="158" spans="1:10">
      <c r="A158" s="9" t="s">
        <v>183</v>
      </c>
      <c r="B158" s="9" t="s">
        <v>15</v>
      </c>
      <c r="C158" s="9" t="s">
        <v>28</v>
      </c>
      <c r="D158" s="9" t="s">
        <v>23</v>
      </c>
      <c r="E158" s="9" t="s">
        <v>18</v>
      </c>
      <c r="F158" s="9">
        <v>6</v>
      </c>
      <c r="G158" s="9" t="str">
        <f t="shared" si="4"/>
        <v>Child</v>
      </c>
      <c r="H158" s="13">
        <v>116568.72</v>
      </c>
      <c r="I158" s="9">
        <v>24</v>
      </c>
      <c r="J158" s="9">
        <v>65</v>
      </c>
    </row>
    <row r="159" spans="1:10">
      <c r="A159" s="10" t="s">
        <v>184</v>
      </c>
      <c r="B159" s="10" t="s">
        <v>25</v>
      </c>
      <c r="C159" s="10" t="s">
        <v>16</v>
      </c>
      <c r="D159" s="10" t="s">
        <v>32</v>
      </c>
      <c r="E159" s="10" t="s">
        <v>18</v>
      </c>
      <c r="F159" s="10">
        <v>33</v>
      </c>
      <c r="G159" s="10" t="str">
        <f t="shared" si="4"/>
        <v>Adult</v>
      </c>
      <c r="H159" s="14">
        <v>70189.8</v>
      </c>
      <c r="I159" s="10">
        <v>14</v>
      </c>
      <c r="J159" s="10">
        <v>88</v>
      </c>
    </row>
    <row r="160" spans="1:10">
      <c r="A160" s="9" t="s">
        <v>185</v>
      </c>
      <c r="B160" s="9" t="s">
        <v>36</v>
      </c>
      <c r="C160" s="9" t="s">
        <v>16</v>
      </c>
      <c r="D160" s="9" t="s">
        <v>26</v>
      </c>
      <c r="E160" s="9" t="s">
        <v>29</v>
      </c>
      <c r="F160" s="9">
        <v>28</v>
      </c>
      <c r="G160" s="9" t="str">
        <f t="shared" si="4"/>
        <v>Young Adult</v>
      </c>
      <c r="H160" s="13">
        <v>136392.39000000001</v>
      </c>
      <c r="I160" s="9">
        <v>22</v>
      </c>
      <c r="J160" s="9">
        <v>77</v>
      </c>
    </row>
    <row r="161" spans="1:10">
      <c r="A161" s="10" t="s">
        <v>186</v>
      </c>
      <c r="B161" s="10" t="s">
        <v>36</v>
      </c>
      <c r="C161" s="10" t="s">
        <v>41</v>
      </c>
      <c r="D161" s="10" t="s">
        <v>26</v>
      </c>
      <c r="E161" s="10" t="s">
        <v>29</v>
      </c>
      <c r="F161" s="10">
        <v>56</v>
      </c>
      <c r="G161" s="10" t="str">
        <f t="shared" si="4"/>
        <v>Middle-aged Adult</v>
      </c>
      <c r="H161" s="14">
        <v>139281.34</v>
      </c>
      <c r="I161" s="10">
        <v>24</v>
      </c>
      <c r="J161" s="10">
        <v>96</v>
      </c>
    </row>
    <row r="162" spans="1:10">
      <c r="A162" s="9" t="s">
        <v>187</v>
      </c>
      <c r="B162" s="9" t="s">
        <v>15</v>
      </c>
      <c r="C162" s="9" t="s">
        <v>11</v>
      </c>
      <c r="D162" s="9" t="s">
        <v>26</v>
      </c>
      <c r="E162" s="9" t="s">
        <v>18</v>
      </c>
      <c r="F162" s="9">
        <v>80</v>
      </c>
      <c r="G162" s="9" t="str">
        <f t="shared" ref="G162:G193" si="5">IF(F162&lt;=12,"Child",
IF(F162&lt;=19,"Teenager/Adolescent",
IF(F162&lt;=29,"Young Adult",
IF(F162&lt;=44,"Adult",
IF(F162&lt;=59,"Middle-aged Adult",
"Senior Citizen/Elderly")))))</f>
        <v>Senior Citizen/Elderly</v>
      </c>
      <c r="H162" s="13">
        <v>140818.37</v>
      </c>
      <c r="I162" s="9">
        <v>9</v>
      </c>
      <c r="J162" s="9">
        <v>42</v>
      </c>
    </row>
    <row r="163" spans="1:10">
      <c r="A163" s="10" t="s">
        <v>188</v>
      </c>
      <c r="B163" s="10" t="s">
        <v>31</v>
      </c>
      <c r="C163" s="10" t="s">
        <v>41</v>
      </c>
      <c r="D163" s="10" t="s">
        <v>17</v>
      </c>
      <c r="E163" s="10" t="s">
        <v>18</v>
      </c>
      <c r="F163" s="10">
        <v>74</v>
      </c>
      <c r="G163" s="10" t="str">
        <f t="shared" si="5"/>
        <v>Senior Citizen/Elderly</v>
      </c>
      <c r="H163" s="14">
        <v>56018.43</v>
      </c>
      <c r="I163" s="10">
        <v>7</v>
      </c>
      <c r="J163" s="10">
        <v>77</v>
      </c>
    </row>
    <row r="164" spans="1:10">
      <c r="A164" s="9" t="s">
        <v>189</v>
      </c>
      <c r="B164" s="9" t="s">
        <v>22</v>
      </c>
      <c r="C164" s="9" t="s">
        <v>41</v>
      </c>
      <c r="D164" s="9" t="s">
        <v>32</v>
      </c>
      <c r="E164" s="9" t="s">
        <v>29</v>
      </c>
      <c r="F164" s="9">
        <v>72</v>
      </c>
      <c r="G164" s="9" t="str">
        <f t="shared" si="5"/>
        <v>Senior Citizen/Elderly</v>
      </c>
      <c r="H164" s="13">
        <v>144841.74</v>
      </c>
      <c r="I164" s="9">
        <v>5</v>
      </c>
      <c r="J164" s="9">
        <v>57</v>
      </c>
    </row>
    <row r="165" spans="1:10">
      <c r="A165" s="10" t="s">
        <v>190</v>
      </c>
      <c r="B165" s="10" t="s">
        <v>31</v>
      </c>
      <c r="C165" s="10" t="s">
        <v>11</v>
      </c>
      <c r="D165" s="10" t="s">
        <v>23</v>
      </c>
      <c r="E165" s="10" t="s">
        <v>18</v>
      </c>
      <c r="F165" s="10">
        <v>14</v>
      </c>
      <c r="G165" s="10" t="str">
        <f t="shared" si="5"/>
        <v>Teenager/Adolescent</v>
      </c>
      <c r="H165" s="14">
        <v>123398.79</v>
      </c>
      <c r="I165" s="10">
        <v>21</v>
      </c>
      <c r="J165" s="10">
        <v>77</v>
      </c>
    </row>
    <row r="166" spans="1:10">
      <c r="A166" s="9" t="s">
        <v>191</v>
      </c>
      <c r="B166" s="9" t="s">
        <v>15</v>
      </c>
      <c r="C166" s="9" t="s">
        <v>41</v>
      </c>
      <c r="D166" s="9" t="s">
        <v>32</v>
      </c>
      <c r="E166" s="9" t="s">
        <v>18</v>
      </c>
      <c r="F166" s="9">
        <v>48</v>
      </c>
      <c r="G166" s="9" t="str">
        <f t="shared" si="5"/>
        <v>Middle-aged Adult</v>
      </c>
      <c r="H166" s="13">
        <v>10911.55</v>
      </c>
      <c r="I166" s="9">
        <v>19</v>
      </c>
      <c r="J166" s="9">
        <v>47</v>
      </c>
    </row>
    <row r="167" spans="1:10">
      <c r="A167" s="10" t="s">
        <v>192</v>
      </c>
      <c r="B167" s="10" t="s">
        <v>36</v>
      </c>
      <c r="C167" s="10" t="s">
        <v>16</v>
      </c>
      <c r="D167" s="10" t="s">
        <v>32</v>
      </c>
      <c r="E167" s="10" t="s">
        <v>13</v>
      </c>
      <c r="F167" s="10">
        <v>87</v>
      </c>
      <c r="G167" s="10" t="str">
        <f t="shared" si="5"/>
        <v>Senior Citizen/Elderly</v>
      </c>
      <c r="H167" s="14">
        <v>96532.96</v>
      </c>
      <c r="I167" s="10">
        <v>7</v>
      </c>
      <c r="J167" s="10">
        <v>93</v>
      </c>
    </row>
    <row r="168" spans="1:10">
      <c r="A168" s="9" t="s">
        <v>193</v>
      </c>
      <c r="B168" s="9" t="s">
        <v>15</v>
      </c>
      <c r="C168" s="9" t="s">
        <v>41</v>
      </c>
      <c r="D168" s="9" t="s">
        <v>32</v>
      </c>
      <c r="E168" s="9" t="s">
        <v>29</v>
      </c>
      <c r="F168" s="9">
        <v>49</v>
      </c>
      <c r="G168" s="9" t="str">
        <f t="shared" si="5"/>
        <v>Middle-aged Adult</v>
      </c>
      <c r="H168" s="13">
        <v>126056.09</v>
      </c>
      <c r="I168" s="9">
        <v>11</v>
      </c>
      <c r="J168" s="9">
        <v>78</v>
      </c>
    </row>
    <row r="169" spans="1:10">
      <c r="A169" s="10" t="s">
        <v>194</v>
      </c>
      <c r="B169" s="10" t="s">
        <v>36</v>
      </c>
      <c r="C169" s="10" t="s">
        <v>41</v>
      </c>
      <c r="D169" s="10" t="s">
        <v>32</v>
      </c>
      <c r="E169" s="10" t="s">
        <v>29</v>
      </c>
      <c r="F169" s="10">
        <v>42</v>
      </c>
      <c r="G169" s="10" t="str">
        <f t="shared" si="5"/>
        <v>Adult</v>
      </c>
      <c r="H169" s="14">
        <v>92788.13</v>
      </c>
      <c r="I169" s="10">
        <v>4</v>
      </c>
      <c r="J169" s="10">
        <v>41</v>
      </c>
    </row>
    <row r="170" spans="1:10">
      <c r="A170" s="9" t="s">
        <v>195</v>
      </c>
      <c r="B170" s="9" t="s">
        <v>15</v>
      </c>
      <c r="C170" s="9" t="s">
        <v>11</v>
      </c>
      <c r="D170" s="9" t="s">
        <v>26</v>
      </c>
      <c r="E170" s="9" t="s">
        <v>18</v>
      </c>
      <c r="F170" s="9">
        <v>36</v>
      </c>
      <c r="G170" s="9" t="str">
        <f t="shared" si="5"/>
        <v>Adult</v>
      </c>
      <c r="H170" s="13">
        <v>24614.639999999999</v>
      </c>
      <c r="I170" s="9">
        <v>30</v>
      </c>
      <c r="J170" s="9">
        <v>57</v>
      </c>
    </row>
    <row r="171" spans="1:10">
      <c r="A171" s="10" t="s">
        <v>196</v>
      </c>
      <c r="B171" s="10" t="s">
        <v>31</v>
      </c>
      <c r="C171" s="10" t="s">
        <v>11</v>
      </c>
      <c r="D171" s="10" t="s">
        <v>12</v>
      </c>
      <c r="E171" s="10" t="s">
        <v>29</v>
      </c>
      <c r="F171" s="10">
        <v>56</v>
      </c>
      <c r="G171" s="10" t="str">
        <f t="shared" si="5"/>
        <v>Middle-aged Adult</v>
      </c>
      <c r="H171" s="14">
        <v>36862.400000000001</v>
      </c>
      <c r="I171" s="10">
        <v>28</v>
      </c>
      <c r="J171" s="10">
        <v>66</v>
      </c>
    </row>
    <row r="172" spans="1:10">
      <c r="A172" s="9" t="s">
        <v>197</v>
      </c>
      <c r="B172" s="9" t="s">
        <v>10</v>
      </c>
      <c r="C172" s="9" t="s">
        <v>16</v>
      </c>
      <c r="D172" s="9" t="s">
        <v>12</v>
      </c>
      <c r="E172" s="9" t="s">
        <v>18</v>
      </c>
      <c r="F172" s="9">
        <v>39</v>
      </c>
      <c r="G172" s="9" t="str">
        <f t="shared" si="5"/>
        <v>Adult</v>
      </c>
      <c r="H172" s="13">
        <v>84065.42</v>
      </c>
      <c r="I172" s="9">
        <v>28</v>
      </c>
      <c r="J172" s="9">
        <v>50</v>
      </c>
    </row>
    <row r="173" spans="1:10">
      <c r="A173" s="10" t="s">
        <v>198</v>
      </c>
      <c r="B173" s="10" t="s">
        <v>10</v>
      </c>
      <c r="C173" s="10" t="s">
        <v>41</v>
      </c>
      <c r="D173" s="10" t="s">
        <v>12</v>
      </c>
      <c r="E173" s="10" t="s">
        <v>29</v>
      </c>
      <c r="F173" s="10">
        <v>42</v>
      </c>
      <c r="G173" s="10" t="str">
        <f t="shared" si="5"/>
        <v>Adult</v>
      </c>
      <c r="H173" s="14">
        <v>83047.11</v>
      </c>
      <c r="I173" s="10">
        <v>13</v>
      </c>
      <c r="J173" s="10">
        <v>50</v>
      </c>
    </row>
    <row r="174" spans="1:10">
      <c r="A174" s="9" t="s">
        <v>199</v>
      </c>
      <c r="B174" s="9" t="s">
        <v>10</v>
      </c>
      <c r="C174" s="9" t="s">
        <v>11</v>
      </c>
      <c r="D174" s="9" t="s">
        <v>26</v>
      </c>
      <c r="E174" s="9" t="s">
        <v>29</v>
      </c>
      <c r="F174" s="9">
        <v>59</v>
      </c>
      <c r="G174" s="9" t="str">
        <f t="shared" si="5"/>
        <v>Middle-aged Adult</v>
      </c>
      <c r="H174" s="13">
        <v>96326.11</v>
      </c>
      <c r="I174" s="9">
        <v>17</v>
      </c>
      <c r="J174" s="9">
        <v>82</v>
      </c>
    </row>
    <row r="175" spans="1:10">
      <c r="A175" s="10" t="s">
        <v>200</v>
      </c>
      <c r="B175" s="10" t="s">
        <v>36</v>
      </c>
      <c r="C175" s="10" t="s">
        <v>41</v>
      </c>
      <c r="D175" s="10" t="s">
        <v>12</v>
      </c>
      <c r="E175" s="10" t="s">
        <v>18</v>
      </c>
      <c r="F175" s="10">
        <v>67</v>
      </c>
      <c r="G175" s="10" t="str">
        <f t="shared" si="5"/>
        <v>Senior Citizen/Elderly</v>
      </c>
      <c r="H175" s="14">
        <v>49487.73</v>
      </c>
      <c r="I175" s="10">
        <v>27</v>
      </c>
      <c r="J175" s="10">
        <v>72</v>
      </c>
    </row>
    <row r="176" spans="1:10">
      <c r="A176" s="9" t="s">
        <v>201</v>
      </c>
      <c r="B176" s="9" t="s">
        <v>10</v>
      </c>
      <c r="C176" s="9" t="s">
        <v>41</v>
      </c>
      <c r="D176" s="9" t="s">
        <v>17</v>
      </c>
      <c r="E176" s="9" t="s">
        <v>18</v>
      </c>
      <c r="F176" s="9">
        <v>11</v>
      </c>
      <c r="G176" s="9" t="str">
        <f t="shared" si="5"/>
        <v>Child</v>
      </c>
      <c r="H176" s="13">
        <v>18263.25</v>
      </c>
      <c r="I176" s="9">
        <v>29</v>
      </c>
      <c r="J176" s="9">
        <v>83</v>
      </c>
    </row>
    <row r="177" spans="1:10">
      <c r="A177" s="10" t="s">
        <v>202</v>
      </c>
      <c r="B177" s="10" t="s">
        <v>31</v>
      </c>
      <c r="C177" s="10" t="s">
        <v>28</v>
      </c>
      <c r="D177" s="10" t="s">
        <v>12</v>
      </c>
      <c r="E177" s="10" t="s">
        <v>13</v>
      </c>
      <c r="F177" s="10">
        <v>3</v>
      </c>
      <c r="G177" s="10" t="str">
        <f t="shared" si="5"/>
        <v>Child</v>
      </c>
      <c r="H177" s="14">
        <v>149013.84</v>
      </c>
      <c r="I177" s="10">
        <v>26</v>
      </c>
      <c r="J177" s="10">
        <v>93</v>
      </c>
    </row>
    <row r="178" spans="1:10">
      <c r="A178" s="9" t="s">
        <v>203</v>
      </c>
      <c r="B178" s="9" t="s">
        <v>22</v>
      </c>
      <c r="C178" s="9" t="s">
        <v>16</v>
      </c>
      <c r="D178" s="9" t="s">
        <v>26</v>
      </c>
      <c r="E178" s="9" t="s">
        <v>29</v>
      </c>
      <c r="F178" s="9">
        <v>69</v>
      </c>
      <c r="G178" s="9" t="str">
        <f t="shared" si="5"/>
        <v>Senior Citizen/Elderly</v>
      </c>
      <c r="H178" s="13">
        <v>46708.35</v>
      </c>
      <c r="I178" s="9">
        <v>1</v>
      </c>
      <c r="J178" s="9">
        <v>88</v>
      </c>
    </row>
    <row r="179" spans="1:10">
      <c r="A179" s="10" t="s">
        <v>204</v>
      </c>
      <c r="B179" s="10" t="s">
        <v>25</v>
      </c>
      <c r="C179" s="10" t="s">
        <v>11</v>
      </c>
      <c r="D179" s="10" t="s">
        <v>17</v>
      </c>
      <c r="E179" s="10" t="s">
        <v>18</v>
      </c>
      <c r="F179" s="10">
        <v>54</v>
      </c>
      <c r="G179" s="10" t="str">
        <f t="shared" si="5"/>
        <v>Middle-aged Adult</v>
      </c>
      <c r="H179" s="14">
        <v>68133.7</v>
      </c>
      <c r="I179" s="10">
        <v>9</v>
      </c>
      <c r="J179" s="10">
        <v>60</v>
      </c>
    </row>
    <row r="180" spans="1:10">
      <c r="A180" s="9" t="s">
        <v>205</v>
      </c>
      <c r="B180" s="9" t="s">
        <v>36</v>
      </c>
      <c r="C180" s="9" t="s">
        <v>28</v>
      </c>
      <c r="D180" s="9" t="s">
        <v>12</v>
      </c>
      <c r="E180" s="9" t="s">
        <v>18</v>
      </c>
      <c r="F180" s="9">
        <v>82</v>
      </c>
      <c r="G180" s="9" t="str">
        <f t="shared" si="5"/>
        <v>Senior Citizen/Elderly</v>
      </c>
      <c r="H180" s="13">
        <v>19213.509999999998</v>
      </c>
      <c r="I180" s="9">
        <v>26</v>
      </c>
      <c r="J180" s="9">
        <v>96</v>
      </c>
    </row>
    <row r="181" spans="1:10">
      <c r="A181" s="10" t="s">
        <v>206</v>
      </c>
      <c r="B181" s="10" t="s">
        <v>25</v>
      </c>
      <c r="C181" s="10" t="s">
        <v>41</v>
      </c>
      <c r="D181" s="10" t="s">
        <v>26</v>
      </c>
      <c r="E181" s="10" t="s">
        <v>18</v>
      </c>
      <c r="F181" s="10">
        <v>60</v>
      </c>
      <c r="G181" s="10" t="str">
        <f t="shared" si="5"/>
        <v>Senior Citizen/Elderly</v>
      </c>
      <c r="H181" s="14">
        <v>22138.22</v>
      </c>
      <c r="I181" s="10">
        <v>3</v>
      </c>
      <c r="J181" s="10">
        <v>96</v>
      </c>
    </row>
    <row r="182" spans="1:10">
      <c r="A182" s="9" t="s">
        <v>207</v>
      </c>
      <c r="B182" s="9" t="s">
        <v>22</v>
      </c>
      <c r="C182" s="9" t="s">
        <v>16</v>
      </c>
      <c r="D182" s="9" t="s">
        <v>17</v>
      </c>
      <c r="E182" s="9" t="s">
        <v>18</v>
      </c>
      <c r="F182" s="9">
        <v>65</v>
      </c>
      <c r="G182" s="9" t="str">
        <f t="shared" si="5"/>
        <v>Senior Citizen/Elderly</v>
      </c>
      <c r="H182" s="13">
        <v>30460.26</v>
      </c>
      <c r="I182" s="9">
        <v>21</v>
      </c>
      <c r="J182" s="9">
        <v>63</v>
      </c>
    </row>
    <row r="183" spans="1:10">
      <c r="A183" s="10" t="s">
        <v>208</v>
      </c>
      <c r="B183" s="10" t="s">
        <v>15</v>
      </c>
      <c r="C183" s="10" t="s">
        <v>28</v>
      </c>
      <c r="D183" s="10" t="s">
        <v>23</v>
      </c>
      <c r="E183" s="10" t="s">
        <v>18</v>
      </c>
      <c r="F183" s="10">
        <v>5</v>
      </c>
      <c r="G183" s="10" t="str">
        <f t="shared" si="5"/>
        <v>Child</v>
      </c>
      <c r="H183" s="14">
        <v>52772.62</v>
      </c>
      <c r="I183" s="10">
        <v>9</v>
      </c>
      <c r="J183" s="10">
        <v>62</v>
      </c>
    </row>
    <row r="184" spans="1:10">
      <c r="A184" s="9" t="s">
        <v>209</v>
      </c>
      <c r="B184" s="9" t="s">
        <v>22</v>
      </c>
      <c r="C184" s="9" t="s">
        <v>28</v>
      </c>
      <c r="D184" s="9" t="s">
        <v>17</v>
      </c>
      <c r="E184" s="9" t="s">
        <v>18</v>
      </c>
      <c r="F184" s="9">
        <v>54</v>
      </c>
      <c r="G184" s="9" t="str">
        <f t="shared" si="5"/>
        <v>Middle-aged Adult</v>
      </c>
      <c r="H184" s="13">
        <v>118241.71</v>
      </c>
      <c r="I184" s="9">
        <v>24</v>
      </c>
      <c r="J184" s="9">
        <v>81</v>
      </c>
    </row>
    <row r="185" spans="1:10">
      <c r="A185" s="10" t="s">
        <v>210</v>
      </c>
      <c r="B185" s="10" t="s">
        <v>10</v>
      </c>
      <c r="C185" s="10" t="s">
        <v>16</v>
      </c>
      <c r="D185" s="10" t="s">
        <v>32</v>
      </c>
      <c r="E185" s="10" t="s">
        <v>18</v>
      </c>
      <c r="F185" s="10">
        <v>64</v>
      </c>
      <c r="G185" s="10" t="str">
        <f t="shared" si="5"/>
        <v>Senior Citizen/Elderly</v>
      </c>
      <c r="H185" s="14">
        <v>19477.689999999999</v>
      </c>
      <c r="I185" s="10">
        <v>6</v>
      </c>
      <c r="J185" s="10">
        <v>65</v>
      </c>
    </row>
    <row r="186" spans="1:10">
      <c r="A186" s="9" t="s">
        <v>211</v>
      </c>
      <c r="B186" s="9" t="s">
        <v>36</v>
      </c>
      <c r="C186" s="9" t="s">
        <v>28</v>
      </c>
      <c r="D186" s="9" t="s">
        <v>23</v>
      </c>
      <c r="E186" s="9" t="s">
        <v>13</v>
      </c>
      <c r="F186" s="9">
        <v>77</v>
      </c>
      <c r="G186" s="9" t="str">
        <f t="shared" si="5"/>
        <v>Senior Citizen/Elderly</v>
      </c>
      <c r="H186" s="13">
        <v>114541.22</v>
      </c>
      <c r="I186" s="9">
        <v>25</v>
      </c>
      <c r="J186" s="9">
        <v>69</v>
      </c>
    </row>
    <row r="187" spans="1:10">
      <c r="A187" s="10" t="s">
        <v>212</v>
      </c>
      <c r="B187" s="10" t="s">
        <v>36</v>
      </c>
      <c r="C187" s="10" t="s">
        <v>11</v>
      </c>
      <c r="D187" s="10" t="s">
        <v>26</v>
      </c>
      <c r="E187" s="10" t="s">
        <v>13</v>
      </c>
      <c r="F187" s="10">
        <v>72</v>
      </c>
      <c r="G187" s="10" t="str">
        <f t="shared" si="5"/>
        <v>Senior Citizen/Elderly</v>
      </c>
      <c r="H187" s="14">
        <v>56437.97</v>
      </c>
      <c r="I187" s="10">
        <v>21</v>
      </c>
      <c r="J187" s="10">
        <v>78</v>
      </c>
    </row>
    <row r="188" spans="1:10">
      <c r="A188" s="9" t="s">
        <v>213</v>
      </c>
      <c r="B188" s="9" t="s">
        <v>31</v>
      </c>
      <c r="C188" s="9" t="s">
        <v>16</v>
      </c>
      <c r="D188" s="9" t="s">
        <v>17</v>
      </c>
      <c r="E188" s="9" t="s">
        <v>18</v>
      </c>
      <c r="F188" s="9">
        <v>86</v>
      </c>
      <c r="G188" s="9" t="str">
        <f t="shared" si="5"/>
        <v>Senior Citizen/Elderly</v>
      </c>
      <c r="H188" s="13">
        <v>53586.34</v>
      </c>
      <c r="I188" s="9">
        <v>22</v>
      </c>
      <c r="J188" s="9">
        <v>96</v>
      </c>
    </row>
    <row r="189" spans="1:10">
      <c r="A189" s="10" t="s">
        <v>214</v>
      </c>
      <c r="B189" s="10" t="s">
        <v>10</v>
      </c>
      <c r="C189" s="10" t="s">
        <v>41</v>
      </c>
      <c r="D189" s="10" t="s">
        <v>17</v>
      </c>
      <c r="E189" s="10" t="s">
        <v>13</v>
      </c>
      <c r="F189" s="10">
        <v>62</v>
      </c>
      <c r="G189" s="10" t="str">
        <f t="shared" si="5"/>
        <v>Senior Citizen/Elderly</v>
      </c>
      <c r="H189" s="14">
        <v>13836.03</v>
      </c>
      <c r="I189" s="10">
        <v>15</v>
      </c>
      <c r="J189" s="10">
        <v>60</v>
      </c>
    </row>
    <row r="190" spans="1:10">
      <c r="A190" s="9" t="s">
        <v>215</v>
      </c>
      <c r="B190" s="9" t="s">
        <v>15</v>
      </c>
      <c r="C190" s="9" t="s">
        <v>28</v>
      </c>
      <c r="D190" s="9" t="s">
        <v>23</v>
      </c>
      <c r="E190" s="9" t="s">
        <v>18</v>
      </c>
      <c r="F190" s="9">
        <v>38</v>
      </c>
      <c r="G190" s="9" t="str">
        <f t="shared" si="5"/>
        <v>Adult</v>
      </c>
      <c r="H190" s="13">
        <v>54960.36</v>
      </c>
      <c r="I190" s="9">
        <v>26</v>
      </c>
      <c r="J190" s="9">
        <v>61</v>
      </c>
    </row>
    <row r="191" spans="1:10">
      <c r="A191" s="10" t="s">
        <v>216</v>
      </c>
      <c r="B191" s="10" t="s">
        <v>15</v>
      </c>
      <c r="C191" s="10" t="s">
        <v>16</v>
      </c>
      <c r="D191" s="10" t="s">
        <v>32</v>
      </c>
      <c r="E191" s="10" t="s">
        <v>13</v>
      </c>
      <c r="F191" s="10">
        <v>70</v>
      </c>
      <c r="G191" s="10" t="str">
        <f t="shared" si="5"/>
        <v>Senior Citizen/Elderly</v>
      </c>
      <c r="H191" s="14">
        <v>92629.07</v>
      </c>
      <c r="I191" s="10">
        <v>11</v>
      </c>
      <c r="J191" s="10">
        <v>96</v>
      </c>
    </row>
    <row r="192" spans="1:10">
      <c r="A192" s="9" t="s">
        <v>217</v>
      </c>
      <c r="B192" s="9" t="s">
        <v>25</v>
      </c>
      <c r="C192" s="9" t="s">
        <v>41</v>
      </c>
      <c r="D192" s="9" t="s">
        <v>32</v>
      </c>
      <c r="E192" s="9" t="s">
        <v>29</v>
      </c>
      <c r="F192" s="9">
        <v>52</v>
      </c>
      <c r="G192" s="9" t="str">
        <f t="shared" si="5"/>
        <v>Middle-aged Adult</v>
      </c>
      <c r="H192" s="13">
        <v>69945.08</v>
      </c>
      <c r="I192" s="9">
        <v>8</v>
      </c>
      <c r="J192" s="9">
        <v>80</v>
      </c>
    </row>
    <row r="193" spans="1:10">
      <c r="A193" s="10" t="s">
        <v>218</v>
      </c>
      <c r="B193" s="10" t="s">
        <v>22</v>
      </c>
      <c r="C193" s="10" t="s">
        <v>16</v>
      </c>
      <c r="D193" s="10" t="s">
        <v>12</v>
      </c>
      <c r="E193" s="10" t="s">
        <v>13</v>
      </c>
      <c r="F193" s="10">
        <v>62</v>
      </c>
      <c r="G193" s="10" t="str">
        <f t="shared" si="5"/>
        <v>Senior Citizen/Elderly</v>
      </c>
      <c r="H193" s="14">
        <v>132120.79</v>
      </c>
      <c r="I193" s="10">
        <v>25</v>
      </c>
      <c r="J193" s="10">
        <v>81</v>
      </c>
    </row>
    <row r="194" spans="1:10">
      <c r="A194" s="9" t="s">
        <v>219</v>
      </c>
      <c r="B194" s="9" t="s">
        <v>22</v>
      </c>
      <c r="C194" s="9" t="s">
        <v>16</v>
      </c>
      <c r="D194" s="9" t="s">
        <v>26</v>
      </c>
      <c r="E194" s="9" t="s">
        <v>18</v>
      </c>
      <c r="F194" s="9">
        <v>22</v>
      </c>
      <c r="G194" s="9" t="str">
        <f t="shared" ref="G194:G201" si="6">IF(F194&lt;=12,"Child",
IF(F194&lt;=19,"Teenager/Adolescent",
IF(F194&lt;=29,"Young Adult",
IF(F194&lt;=44,"Adult",
IF(F194&lt;=59,"Middle-aged Adult",
"Senior Citizen/Elderly")))))</f>
        <v>Young Adult</v>
      </c>
      <c r="H194" s="13">
        <v>132726.88</v>
      </c>
      <c r="I194" s="9">
        <v>24</v>
      </c>
      <c r="J194" s="9">
        <v>54</v>
      </c>
    </row>
    <row r="195" spans="1:10">
      <c r="A195" s="10" t="s">
        <v>220</v>
      </c>
      <c r="B195" s="10" t="s">
        <v>10</v>
      </c>
      <c r="C195" s="10" t="s">
        <v>16</v>
      </c>
      <c r="D195" s="10" t="s">
        <v>17</v>
      </c>
      <c r="E195" s="10" t="s">
        <v>29</v>
      </c>
      <c r="F195" s="10">
        <v>70</v>
      </c>
      <c r="G195" s="10" t="str">
        <f t="shared" si="6"/>
        <v>Senior Citizen/Elderly</v>
      </c>
      <c r="H195" s="14">
        <v>40806.769999999997</v>
      </c>
      <c r="I195" s="10">
        <v>1</v>
      </c>
      <c r="J195" s="10">
        <v>51</v>
      </c>
    </row>
    <row r="196" spans="1:10">
      <c r="A196" s="9" t="s">
        <v>221</v>
      </c>
      <c r="B196" s="9" t="s">
        <v>25</v>
      </c>
      <c r="C196" s="9" t="s">
        <v>41</v>
      </c>
      <c r="D196" s="9" t="s">
        <v>32</v>
      </c>
      <c r="E196" s="9" t="s">
        <v>13</v>
      </c>
      <c r="F196" s="9">
        <v>33</v>
      </c>
      <c r="G196" s="9" t="str">
        <f t="shared" si="6"/>
        <v>Adult</v>
      </c>
      <c r="H196" s="13">
        <v>56926.38</v>
      </c>
      <c r="I196" s="9">
        <v>11</v>
      </c>
      <c r="J196" s="9">
        <v>81</v>
      </c>
    </row>
    <row r="197" spans="1:10">
      <c r="A197" s="10" t="s">
        <v>222</v>
      </c>
      <c r="B197" s="10" t="s">
        <v>22</v>
      </c>
      <c r="C197" s="10" t="s">
        <v>16</v>
      </c>
      <c r="D197" s="10" t="s">
        <v>32</v>
      </c>
      <c r="E197" s="10" t="s">
        <v>29</v>
      </c>
      <c r="F197" s="10">
        <v>1</v>
      </c>
      <c r="G197" s="10" t="str">
        <f t="shared" si="6"/>
        <v>Child</v>
      </c>
      <c r="H197" s="14">
        <v>87386.12</v>
      </c>
      <c r="I197" s="10">
        <v>14</v>
      </c>
      <c r="J197" s="10">
        <v>63</v>
      </c>
    </row>
    <row r="198" spans="1:10">
      <c r="A198" s="9" t="s">
        <v>223</v>
      </c>
      <c r="B198" s="9" t="s">
        <v>22</v>
      </c>
      <c r="C198" s="9" t="s">
        <v>28</v>
      </c>
      <c r="D198" s="9" t="s">
        <v>12</v>
      </c>
      <c r="E198" s="9" t="s">
        <v>13</v>
      </c>
      <c r="F198" s="9">
        <v>8</v>
      </c>
      <c r="G198" s="9" t="str">
        <f t="shared" si="6"/>
        <v>Child</v>
      </c>
      <c r="H198" s="13">
        <v>7805.22</v>
      </c>
      <c r="I198" s="9">
        <v>13</v>
      </c>
      <c r="J198" s="9">
        <v>91</v>
      </c>
    </row>
    <row r="199" spans="1:10">
      <c r="A199" s="10" t="s">
        <v>224</v>
      </c>
      <c r="B199" s="10" t="s">
        <v>22</v>
      </c>
      <c r="C199" s="10" t="s">
        <v>11</v>
      </c>
      <c r="D199" s="10" t="s">
        <v>17</v>
      </c>
      <c r="E199" s="10" t="s">
        <v>18</v>
      </c>
      <c r="F199" s="10">
        <v>90</v>
      </c>
      <c r="G199" s="10" t="str">
        <f t="shared" si="6"/>
        <v>Senior Citizen/Elderly</v>
      </c>
      <c r="H199" s="14">
        <v>64936.83</v>
      </c>
      <c r="I199" s="10">
        <v>23</v>
      </c>
      <c r="J199" s="10">
        <v>51</v>
      </c>
    </row>
    <row r="200" spans="1:10">
      <c r="A200" s="9" t="s">
        <v>225</v>
      </c>
      <c r="B200" s="9" t="s">
        <v>36</v>
      </c>
      <c r="C200" s="9" t="s">
        <v>41</v>
      </c>
      <c r="D200" s="9" t="s">
        <v>32</v>
      </c>
      <c r="E200" s="9" t="s">
        <v>13</v>
      </c>
      <c r="F200" s="9">
        <v>21</v>
      </c>
      <c r="G200" s="9" t="str">
        <f t="shared" si="6"/>
        <v>Young Adult</v>
      </c>
      <c r="H200" s="13">
        <v>57025.03</v>
      </c>
      <c r="I200" s="9">
        <v>18</v>
      </c>
      <c r="J200" s="9">
        <v>50</v>
      </c>
    </row>
    <row r="201" spans="1:10">
      <c r="A201" s="10" t="s">
        <v>226</v>
      </c>
      <c r="B201" s="10" t="s">
        <v>36</v>
      </c>
      <c r="C201" s="10" t="s">
        <v>41</v>
      </c>
      <c r="D201" s="10" t="s">
        <v>23</v>
      </c>
      <c r="E201" s="10" t="s">
        <v>13</v>
      </c>
      <c r="F201" s="10">
        <v>39</v>
      </c>
      <c r="G201" s="10" t="str">
        <f t="shared" si="6"/>
        <v>Adult</v>
      </c>
      <c r="H201" s="14">
        <v>145631.91</v>
      </c>
      <c r="I201" s="10">
        <v>6</v>
      </c>
      <c r="J201" s="10">
        <v>49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D61F9-DC9A-4E2B-BAE3-9A56159796E6}">
  <dimension ref="B1:I132"/>
  <sheetViews>
    <sheetView topLeftCell="A121" workbookViewId="0">
      <selection activeCell="D139" sqref="D139"/>
    </sheetView>
  </sheetViews>
  <sheetFormatPr defaultRowHeight="14.4"/>
  <cols>
    <col min="2" max="2" width="18.5546875" bestFit="1" customWidth="1"/>
    <col min="3" max="3" width="17.21875" bestFit="1" customWidth="1"/>
    <col min="4" max="4" width="5.21875" bestFit="1" customWidth="1"/>
    <col min="5" max="5" width="14.77734375" bestFit="1" customWidth="1"/>
    <col min="6" max="6" width="18.5546875" bestFit="1" customWidth="1"/>
    <col min="7" max="7" width="27.6640625" bestFit="1" customWidth="1"/>
    <col min="8" max="8" width="20.44140625" bestFit="1" customWidth="1"/>
    <col min="9" max="10" width="20.5546875" bestFit="1" customWidth="1"/>
    <col min="11" max="11" width="7" bestFit="1" customWidth="1"/>
    <col min="12" max="12" width="3" bestFit="1" customWidth="1"/>
    <col min="13" max="16" width="12" bestFit="1" customWidth="1"/>
    <col min="17" max="17" width="3" bestFit="1" customWidth="1"/>
    <col min="18" max="18" width="5" bestFit="1" customWidth="1"/>
    <col min="19" max="19" width="6" bestFit="1" customWidth="1"/>
    <col min="20" max="20" width="5" bestFit="1" customWidth="1"/>
    <col min="21" max="21" width="6" bestFit="1" customWidth="1"/>
    <col min="22" max="22" width="12" bestFit="1" customWidth="1"/>
    <col min="23" max="23" width="5" bestFit="1" customWidth="1"/>
    <col min="24" max="24" width="12" bestFit="1" customWidth="1"/>
    <col min="25" max="25" width="3" bestFit="1" customWidth="1"/>
    <col min="26" max="26" width="12" bestFit="1" customWidth="1"/>
    <col min="27" max="27" width="7" bestFit="1" customWidth="1"/>
    <col min="28" max="30" width="5" bestFit="1" customWidth="1"/>
    <col min="31" max="31" width="6" bestFit="1" customWidth="1"/>
    <col min="32" max="32" width="5" bestFit="1" customWidth="1"/>
    <col min="33" max="33" width="10.77734375" bestFit="1" customWidth="1"/>
  </cols>
  <sheetData>
    <row r="1" spans="2:9">
      <c r="B1" t="s">
        <v>235</v>
      </c>
    </row>
    <row r="2" spans="2:9">
      <c r="B2" s="5" t="s">
        <v>231</v>
      </c>
      <c r="C2" s="5" t="s">
        <v>227</v>
      </c>
      <c r="D2" s="5" t="s">
        <v>228</v>
      </c>
      <c r="E2" s="5" t="s">
        <v>229</v>
      </c>
      <c r="F2" s="5" t="s">
        <v>230</v>
      </c>
    </row>
    <row r="3" spans="2:9">
      <c r="B3" s="17">
        <v>200</v>
      </c>
      <c r="C3" s="6">
        <v>41.71</v>
      </c>
      <c r="D3" s="15">
        <v>79698.513500000001</v>
      </c>
      <c r="E3" s="6">
        <v>70.375</v>
      </c>
      <c r="F3" s="8">
        <v>16.015000000000001</v>
      </c>
    </row>
    <row r="5" spans="2:9">
      <c r="B5" t="s">
        <v>236</v>
      </c>
      <c r="G5" t="s">
        <v>240</v>
      </c>
    </row>
    <row r="6" spans="2:9">
      <c r="B6" s="2" t="s">
        <v>234</v>
      </c>
      <c r="C6" s="2" t="s">
        <v>233</v>
      </c>
      <c r="G6" s="7" t="s">
        <v>232</v>
      </c>
      <c r="H6" s="5" t="s">
        <v>239</v>
      </c>
    </row>
    <row r="7" spans="2:9">
      <c r="B7" s="2" t="s">
        <v>232</v>
      </c>
      <c r="C7" t="s">
        <v>13</v>
      </c>
      <c r="D7" t="s">
        <v>18</v>
      </c>
      <c r="E7" t="s">
        <v>29</v>
      </c>
      <c r="G7" s="5" t="s">
        <v>25</v>
      </c>
      <c r="H7" s="17">
        <v>24</v>
      </c>
    </row>
    <row r="8" spans="2:9">
      <c r="B8" s="3" t="s">
        <v>25</v>
      </c>
      <c r="C8" s="16">
        <v>8</v>
      </c>
      <c r="D8" s="16">
        <v>8</v>
      </c>
      <c r="E8" s="16">
        <v>8</v>
      </c>
      <c r="G8" s="5" t="s">
        <v>10</v>
      </c>
      <c r="H8" s="17">
        <v>41</v>
      </c>
    </row>
    <row r="9" spans="2:9">
      <c r="B9" s="3" t="s">
        <v>10</v>
      </c>
      <c r="C9" s="16">
        <v>11</v>
      </c>
      <c r="D9" s="16">
        <v>21</v>
      </c>
      <c r="E9" s="16">
        <v>9</v>
      </c>
      <c r="G9" s="5" t="s">
        <v>31</v>
      </c>
      <c r="H9" s="17">
        <v>28</v>
      </c>
    </row>
    <row r="10" spans="2:9">
      <c r="B10" s="3" t="s">
        <v>31</v>
      </c>
      <c r="C10" s="16">
        <v>7</v>
      </c>
      <c r="D10" s="16">
        <v>6</v>
      </c>
      <c r="E10" s="16">
        <v>15</v>
      </c>
      <c r="G10" s="5" t="s">
        <v>36</v>
      </c>
      <c r="H10" s="17">
        <v>31</v>
      </c>
    </row>
    <row r="11" spans="2:9">
      <c r="B11" s="3" t="s">
        <v>36</v>
      </c>
      <c r="C11" s="16">
        <v>10</v>
      </c>
      <c r="D11" s="16">
        <v>12</v>
      </c>
      <c r="E11" s="16">
        <v>9</v>
      </c>
      <c r="G11" s="5" t="s">
        <v>22</v>
      </c>
      <c r="H11" s="17">
        <v>38</v>
      </c>
    </row>
    <row r="12" spans="2:9">
      <c r="B12" s="3" t="s">
        <v>22</v>
      </c>
      <c r="C12" s="16">
        <v>11</v>
      </c>
      <c r="D12" s="16">
        <v>14</v>
      </c>
      <c r="E12" s="16">
        <v>13</v>
      </c>
      <c r="G12" s="5" t="s">
        <v>15</v>
      </c>
      <c r="H12" s="17">
        <v>38</v>
      </c>
    </row>
    <row r="13" spans="2:9">
      <c r="B13" s="3" t="s">
        <v>15</v>
      </c>
      <c r="C13" s="16">
        <v>10</v>
      </c>
      <c r="D13" s="16">
        <v>20</v>
      </c>
      <c r="E13" s="16">
        <v>8</v>
      </c>
    </row>
    <row r="15" spans="2:9">
      <c r="B15" t="s">
        <v>248</v>
      </c>
      <c r="E15" t="s">
        <v>247</v>
      </c>
      <c r="H15" t="s">
        <v>241</v>
      </c>
    </row>
    <row r="16" spans="2:9">
      <c r="B16" s="7" t="s">
        <v>232</v>
      </c>
      <c r="C16" s="5" t="s">
        <v>229</v>
      </c>
      <c r="E16" s="7" t="s">
        <v>232</v>
      </c>
      <c r="F16" s="5" t="s">
        <v>228</v>
      </c>
      <c r="H16" s="7" t="s">
        <v>232</v>
      </c>
      <c r="I16" s="5" t="s">
        <v>237</v>
      </c>
    </row>
    <row r="17" spans="2:9">
      <c r="B17" s="5" t="s">
        <v>16</v>
      </c>
      <c r="C17" s="6">
        <v>67.581818181818178</v>
      </c>
      <c r="E17" s="5" t="s">
        <v>16</v>
      </c>
      <c r="F17" s="15">
        <v>80753.246545454531</v>
      </c>
      <c r="H17" s="5" t="s">
        <v>16</v>
      </c>
      <c r="I17" s="15">
        <v>4441428.5599999996</v>
      </c>
    </row>
    <row r="18" spans="2:9">
      <c r="B18" s="5" t="s">
        <v>28</v>
      </c>
      <c r="C18" s="6">
        <v>70.021276595744681</v>
      </c>
      <c r="E18" s="5" t="s">
        <v>28</v>
      </c>
      <c r="F18" s="15">
        <v>78660.429999999993</v>
      </c>
      <c r="H18" s="5" t="s">
        <v>28</v>
      </c>
      <c r="I18" s="15">
        <v>3697040.21</v>
      </c>
    </row>
    <row r="19" spans="2:9">
      <c r="B19" s="5" t="s">
        <v>41</v>
      </c>
      <c r="C19" s="6">
        <v>73.291666666666671</v>
      </c>
      <c r="E19" s="5" t="s">
        <v>41</v>
      </c>
      <c r="F19" s="15">
        <v>83729.879166666666</v>
      </c>
      <c r="H19" s="5" t="s">
        <v>41</v>
      </c>
      <c r="I19" s="15">
        <v>4019034.2</v>
      </c>
    </row>
    <row r="20" spans="2:9">
      <c r="B20" s="5" t="s">
        <v>11</v>
      </c>
      <c r="C20" s="6">
        <v>70.98</v>
      </c>
      <c r="E20" s="5" t="s">
        <v>11</v>
      </c>
      <c r="F20" s="15">
        <v>75643.994600000005</v>
      </c>
      <c r="H20" s="5" t="s">
        <v>11</v>
      </c>
      <c r="I20" s="15">
        <v>3782199.73</v>
      </c>
    </row>
    <row r="21" spans="2:9">
      <c r="C21" s="4"/>
    </row>
    <row r="22" spans="2:9">
      <c r="B22" t="s">
        <v>249</v>
      </c>
      <c r="E22" t="s">
        <v>246</v>
      </c>
    </row>
    <row r="23" spans="2:9">
      <c r="B23" s="7" t="s">
        <v>232</v>
      </c>
      <c r="C23" s="5" t="s">
        <v>229</v>
      </c>
      <c r="E23" s="7" t="s">
        <v>232</v>
      </c>
      <c r="F23" s="5" t="s">
        <v>228</v>
      </c>
      <c r="H23" t="s">
        <v>250</v>
      </c>
    </row>
    <row r="24" spans="2:9">
      <c r="B24" s="5" t="s">
        <v>26</v>
      </c>
      <c r="C24" s="6">
        <v>70.2</v>
      </c>
      <c r="E24" s="5" t="s">
        <v>26</v>
      </c>
      <c r="F24" s="6">
        <v>76987.606</v>
      </c>
      <c r="H24" s="7" t="s">
        <v>232</v>
      </c>
      <c r="I24" s="5" t="s">
        <v>227</v>
      </c>
    </row>
    <row r="25" spans="2:9">
      <c r="B25" s="5" t="s">
        <v>12</v>
      </c>
      <c r="C25" s="6">
        <v>72.521739130434781</v>
      </c>
      <c r="E25" s="5" t="s">
        <v>12</v>
      </c>
      <c r="F25" s="6">
        <v>82422.094347826089</v>
      </c>
      <c r="H25" s="5" t="s">
        <v>16</v>
      </c>
      <c r="I25" s="6">
        <v>42.745454545454542</v>
      </c>
    </row>
    <row r="26" spans="2:9">
      <c r="B26" s="5" t="s">
        <v>17</v>
      </c>
      <c r="C26" s="6">
        <v>73.243902439024396</v>
      </c>
      <c r="E26" s="5" t="s">
        <v>17</v>
      </c>
      <c r="F26" s="6">
        <v>70756.393414634149</v>
      </c>
      <c r="H26" s="5" t="s">
        <v>28</v>
      </c>
      <c r="I26" s="6">
        <v>38.255319148936174</v>
      </c>
    </row>
    <row r="27" spans="2:9">
      <c r="B27" s="5" t="s">
        <v>32</v>
      </c>
      <c r="C27" s="6">
        <v>67.75555555555556</v>
      </c>
      <c r="E27" s="5" t="s">
        <v>32</v>
      </c>
      <c r="F27" s="6">
        <v>74882.177777777775</v>
      </c>
      <c r="H27" s="5" t="s">
        <v>41</v>
      </c>
      <c r="I27" s="6">
        <v>44.041666666666664</v>
      </c>
    </row>
    <row r="28" spans="2:9">
      <c r="B28" s="5" t="s">
        <v>23</v>
      </c>
      <c r="C28" s="6">
        <v>67.921052631578945</v>
      </c>
      <c r="E28" s="5" t="s">
        <v>23</v>
      </c>
      <c r="F28" s="6">
        <v>93893.369736842098</v>
      </c>
      <c r="H28" s="5" t="s">
        <v>11</v>
      </c>
      <c r="I28" s="6">
        <v>41.58</v>
      </c>
    </row>
    <row r="31" spans="2:9">
      <c r="B31" t="s">
        <v>244</v>
      </c>
    </row>
    <row r="32" spans="2:9">
      <c r="B32" s="7" t="s">
        <v>232</v>
      </c>
      <c r="C32" s="5" t="s">
        <v>227</v>
      </c>
      <c r="E32" t="s">
        <v>245</v>
      </c>
    </row>
    <row r="33" spans="2:8">
      <c r="B33" s="5" t="s">
        <v>25</v>
      </c>
      <c r="C33" s="6">
        <v>45.416666666666664</v>
      </c>
      <c r="E33" s="7" t="s">
        <v>232</v>
      </c>
      <c r="F33" s="5" t="s">
        <v>229</v>
      </c>
      <c r="G33" s="5" t="s">
        <v>242</v>
      </c>
      <c r="H33" s="5" t="s">
        <v>243</v>
      </c>
    </row>
    <row r="34" spans="2:8">
      <c r="B34" s="5" t="s">
        <v>10</v>
      </c>
      <c r="C34" s="6">
        <v>31.390243902439025</v>
      </c>
      <c r="E34" s="5" t="s">
        <v>25</v>
      </c>
      <c r="F34" s="6">
        <v>70.5</v>
      </c>
      <c r="G34" s="17">
        <v>41</v>
      </c>
      <c r="H34" s="17">
        <v>96</v>
      </c>
    </row>
    <row r="35" spans="2:8">
      <c r="B35" s="5" t="s">
        <v>31</v>
      </c>
      <c r="C35" s="6">
        <v>52.214285714285715</v>
      </c>
      <c r="E35" s="5" t="s">
        <v>10</v>
      </c>
      <c r="F35" s="6">
        <v>71.804878048780495</v>
      </c>
      <c r="G35" s="17">
        <v>40</v>
      </c>
      <c r="H35" s="17">
        <v>99</v>
      </c>
    </row>
    <row r="36" spans="2:8">
      <c r="B36" s="5" t="s">
        <v>36</v>
      </c>
      <c r="C36" s="6">
        <v>41.58064516129032</v>
      </c>
      <c r="E36" s="5" t="s">
        <v>31</v>
      </c>
      <c r="F36" s="6">
        <v>66.392857142857139</v>
      </c>
      <c r="G36" s="17">
        <v>40</v>
      </c>
      <c r="H36" s="17">
        <v>96</v>
      </c>
    </row>
    <row r="37" spans="2:8">
      <c r="B37" s="5" t="s">
        <v>22</v>
      </c>
      <c r="C37" s="6">
        <v>40.789473684210527</v>
      </c>
      <c r="E37" s="5" t="s">
        <v>36</v>
      </c>
      <c r="F37" s="6">
        <v>72.41935483870968</v>
      </c>
      <c r="G37" s="17">
        <v>41</v>
      </c>
      <c r="H37" s="17">
        <v>99</v>
      </c>
    </row>
    <row r="38" spans="2:8">
      <c r="B38" s="5" t="s">
        <v>15</v>
      </c>
      <c r="C38" s="6">
        <v>43.789473684210527</v>
      </c>
      <c r="E38" s="5" t="s">
        <v>22</v>
      </c>
      <c r="F38" s="6">
        <v>67.263157894736835</v>
      </c>
      <c r="G38" s="17">
        <v>40</v>
      </c>
      <c r="H38" s="17">
        <v>99</v>
      </c>
    </row>
    <row r="39" spans="2:8">
      <c r="B39" s="5"/>
      <c r="C39" s="5"/>
      <c r="E39" s="5" t="s">
        <v>15</v>
      </c>
      <c r="F39" s="6">
        <v>73.131578947368425</v>
      </c>
      <c r="G39" s="17">
        <v>42</v>
      </c>
      <c r="H39" s="17">
        <v>100</v>
      </c>
    </row>
    <row r="56" spans="2:7">
      <c r="B56" s="7" t="s">
        <v>232</v>
      </c>
      <c r="C56" s="5" t="s">
        <v>238</v>
      </c>
      <c r="F56" s="2" t="s">
        <v>232</v>
      </c>
      <c r="G56" t="s">
        <v>230</v>
      </c>
    </row>
    <row r="57" spans="2:7">
      <c r="B57" s="5" t="s">
        <v>25</v>
      </c>
      <c r="C57" s="17">
        <v>1692</v>
      </c>
      <c r="F57" s="3" t="s">
        <v>252</v>
      </c>
      <c r="G57" s="12">
        <v>16.918918918918919</v>
      </c>
    </row>
    <row r="58" spans="2:7">
      <c r="B58" s="5" t="s">
        <v>10</v>
      </c>
      <c r="C58" s="17">
        <v>2944</v>
      </c>
      <c r="F58" s="3" t="s">
        <v>253</v>
      </c>
      <c r="G58" s="12">
        <v>15.973684210526315</v>
      </c>
    </row>
    <row r="59" spans="2:7">
      <c r="B59" s="5" t="s">
        <v>31</v>
      </c>
      <c r="C59" s="17">
        <v>1859</v>
      </c>
      <c r="F59" s="3" t="s">
        <v>254</v>
      </c>
      <c r="G59" s="12">
        <v>14.303030303030303</v>
      </c>
    </row>
    <row r="60" spans="2:7">
      <c r="B60" s="5" t="s">
        <v>36</v>
      </c>
      <c r="C60" s="17">
        <v>2245</v>
      </c>
      <c r="F60" s="3" t="s">
        <v>255</v>
      </c>
      <c r="G60" s="12">
        <v>14.852459016393443</v>
      </c>
    </row>
    <row r="61" spans="2:7">
      <c r="B61" s="5" t="s">
        <v>22</v>
      </c>
      <c r="C61" s="17">
        <v>2556</v>
      </c>
      <c r="F61" s="3" t="s">
        <v>256</v>
      </c>
      <c r="G61" s="12">
        <v>19.23076923076923</v>
      </c>
    </row>
    <row r="62" spans="2:7">
      <c r="B62" s="5" t="s">
        <v>15</v>
      </c>
      <c r="C62" s="17">
        <v>2779</v>
      </c>
      <c r="F62" s="3" t="s">
        <v>257</v>
      </c>
      <c r="G62" s="12">
        <v>19</v>
      </c>
    </row>
    <row r="72" spans="2:3">
      <c r="B72" t="s">
        <v>232</v>
      </c>
      <c r="C72" t="s">
        <v>229</v>
      </c>
    </row>
    <row r="73" spans="2:3">
      <c r="B73" t="s">
        <v>16</v>
      </c>
      <c r="C73" s="12">
        <v>67.581818181818178</v>
      </c>
    </row>
    <row r="74" spans="2:3">
      <c r="B74" t="s">
        <v>28</v>
      </c>
      <c r="C74" s="12">
        <v>70.021276595744681</v>
      </c>
    </row>
    <row r="75" spans="2:3">
      <c r="B75" t="s">
        <v>41</v>
      </c>
      <c r="C75" s="12">
        <v>73.291666666666671</v>
      </c>
    </row>
    <row r="76" spans="2:3">
      <c r="B76" t="s">
        <v>11</v>
      </c>
      <c r="C76" s="12">
        <v>70.98</v>
      </c>
    </row>
    <row r="87" spans="2:3">
      <c r="B87" s="7" t="s">
        <v>232</v>
      </c>
      <c r="C87" s="5" t="s">
        <v>239</v>
      </c>
    </row>
    <row r="88" spans="2:3">
      <c r="B88" s="5" t="s">
        <v>13</v>
      </c>
      <c r="C88" s="17">
        <v>57</v>
      </c>
    </row>
    <row r="89" spans="2:3">
      <c r="B89" s="5" t="s">
        <v>18</v>
      </c>
      <c r="C89" s="17">
        <v>81</v>
      </c>
    </row>
    <row r="90" spans="2:3">
      <c r="B90" s="5" t="s">
        <v>29</v>
      </c>
      <c r="C90" s="17">
        <v>62</v>
      </c>
    </row>
    <row r="93" spans="2:3">
      <c r="B93" s="7" t="s">
        <v>232</v>
      </c>
      <c r="C93" s="5" t="s">
        <v>239</v>
      </c>
    </row>
    <row r="94" spans="2:3">
      <c r="B94" s="5" t="s">
        <v>16</v>
      </c>
      <c r="C94" s="17">
        <v>55</v>
      </c>
    </row>
    <row r="95" spans="2:3">
      <c r="B95" s="5" t="s">
        <v>28</v>
      </c>
      <c r="C95" s="17">
        <v>47</v>
      </c>
    </row>
    <row r="96" spans="2:3">
      <c r="B96" s="5" t="s">
        <v>41</v>
      </c>
      <c r="C96" s="17">
        <v>48</v>
      </c>
    </row>
    <row r="97" spans="2:6">
      <c r="B97" s="5" t="s">
        <v>11</v>
      </c>
      <c r="C97" s="17">
        <v>50</v>
      </c>
    </row>
    <row r="100" spans="2:6">
      <c r="B100" s="7" t="s">
        <v>232</v>
      </c>
      <c r="C100" s="5" t="s">
        <v>239</v>
      </c>
    </row>
    <row r="101" spans="2:6">
      <c r="B101" s="5" t="s">
        <v>26</v>
      </c>
      <c r="C101" s="17">
        <v>30</v>
      </c>
    </row>
    <row r="102" spans="2:6">
      <c r="B102" s="5" t="s">
        <v>12</v>
      </c>
      <c r="C102" s="17">
        <v>46</v>
      </c>
    </row>
    <row r="103" spans="2:6">
      <c r="B103" s="5" t="s">
        <v>17</v>
      </c>
      <c r="C103" s="17">
        <v>41</v>
      </c>
    </row>
    <row r="104" spans="2:6">
      <c r="B104" s="5" t="s">
        <v>32</v>
      </c>
      <c r="C104" s="17">
        <v>45</v>
      </c>
    </row>
    <row r="105" spans="2:6">
      <c r="B105" s="5" t="s">
        <v>23</v>
      </c>
      <c r="C105" s="17">
        <v>38</v>
      </c>
    </row>
    <row r="107" spans="2:6">
      <c r="B107" s="7" t="s">
        <v>232</v>
      </c>
      <c r="C107" s="5" t="s">
        <v>239</v>
      </c>
    </row>
    <row r="108" spans="2:6">
      <c r="B108" s="5" t="s">
        <v>25</v>
      </c>
      <c r="C108" s="17">
        <v>24</v>
      </c>
      <c r="E108" t="s">
        <v>251</v>
      </c>
      <c r="F108" t="s">
        <v>229</v>
      </c>
    </row>
    <row r="109" spans="2:6">
      <c r="B109" s="5" t="s">
        <v>10</v>
      </c>
      <c r="C109" s="17">
        <v>41</v>
      </c>
      <c r="E109" t="s">
        <v>252</v>
      </c>
      <c r="F109">
        <v>68.324324324324323</v>
      </c>
    </row>
    <row r="110" spans="2:6">
      <c r="B110" s="5" t="s">
        <v>31</v>
      </c>
      <c r="C110" s="17">
        <v>28</v>
      </c>
      <c r="E110" t="s">
        <v>253</v>
      </c>
      <c r="F110">
        <v>71.263157894736835</v>
      </c>
    </row>
    <row r="111" spans="2:6">
      <c r="B111" s="5" t="s">
        <v>36</v>
      </c>
      <c r="C111" s="17">
        <v>31</v>
      </c>
      <c r="E111" t="s">
        <v>254</v>
      </c>
      <c r="F111">
        <v>68.242424242424249</v>
      </c>
    </row>
    <row r="112" spans="2:6">
      <c r="B112" s="5" t="s">
        <v>22</v>
      </c>
      <c r="C112" s="17">
        <v>38</v>
      </c>
      <c r="E112" t="s">
        <v>255</v>
      </c>
      <c r="F112">
        <v>72.606557377049185</v>
      </c>
    </row>
    <row r="113" spans="2:6">
      <c r="B113" s="5" t="s">
        <v>15</v>
      </c>
      <c r="C113" s="17">
        <v>38</v>
      </c>
      <c r="E113" t="s">
        <v>256</v>
      </c>
      <c r="F113">
        <v>67.230769230769226</v>
      </c>
    </row>
    <row r="114" spans="2:6">
      <c r="E114" t="s">
        <v>257</v>
      </c>
      <c r="F114">
        <v>71.333333333333329</v>
      </c>
    </row>
    <row r="117" spans="2:6">
      <c r="B117" s="7" t="s">
        <v>232</v>
      </c>
      <c r="C117" s="5" t="s">
        <v>229</v>
      </c>
    </row>
    <row r="118" spans="2:6">
      <c r="B118" s="5" t="s">
        <v>252</v>
      </c>
      <c r="C118" s="6">
        <v>68.324324324324323</v>
      </c>
    </row>
    <row r="119" spans="2:6">
      <c r="B119" s="5" t="s">
        <v>253</v>
      </c>
      <c r="C119" s="6">
        <v>71.263157894736835</v>
      </c>
    </row>
    <row r="120" spans="2:6">
      <c r="B120" s="5" t="s">
        <v>254</v>
      </c>
      <c r="C120" s="6">
        <v>68.242424242424249</v>
      </c>
    </row>
    <row r="121" spans="2:6">
      <c r="B121" s="5" t="s">
        <v>255</v>
      </c>
      <c r="C121" s="6">
        <v>72.606557377049185</v>
      </c>
    </row>
    <row r="122" spans="2:6">
      <c r="B122" s="5" t="s">
        <v>256</v>
      </c>
      <c r="C122" s="6">
        <v>67.230769230769226</v>
      </c>
    </row>
    <row r="123" spans="2:6">
      <c r="B123" s="5" t="s">
        <v>257</v>
      </c>
      <c r="C123" s="6">
        <v>71.333333333333329</v>
      </c>
    </row>
    <row r="126" spans="2:6">
      <c r="B126" s="7" t="s">
        <v>232</v>
      </c>
      <c r="C126" s="5" t="s">
        <v>239</v>
      </c>
    </row>
    <row r="127" spans="2:6">
      <c r="B127" s="5" t="s">
        <v>252</v>
      </c>
      <c r="C127" s="17">
        <v>37</v>
      </c>
    </row>
    <row r="128" spans="2:6">
      <c r="B128" s="5" t="s">
        <v>253</v>
      </c>
      <c r="C128" s="17">
        <v>38</v>
      </c>
    </row>
    <row r="129" spans="2:3">
      <c r="B129" s="5" t="s">
        <v>254</v>
      </c>
      <c r="C129" s="17">
        <v>33</v>
      </c>
    </row>
    <row r="130" spans="2:3">
      <c r="B130" s="5" t="s">
        <v>255</v>
      </c>
      <c r="C130" s="17">
        <v>61</v>
      </c>
    </row>
    <row r="131" spans="2:3">
      <c r="B131" s="5" t="s">
        <v>256</v>
      </c>
      <c r="C131" s="17">
        <v>13</v>
      </c>
    </row>
    <row r="132" spans="2:3">
      <c r="B132" s="5" t="s">
        <v>257</v>
      </c>
      <c r="C132" s="17">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C2239-37CD-4692-B999-F1B454CB97C8}">
  <dimension ref="A1"/>
  <sheetViews>
    <sheetView topLeftCell="A43" workbookViewId="0">
      <selection activeCell="V75" sqref="V75"/>
    </sheetView>
  </sheetViews>
  <sheetFormatPr defaultRowHeight="14.4"/>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75BDC-EDAB-4031-980A-0723B4E082AC}">
  <dimension ref="A1"/>
  <sheetViews>
    <sheetView showGridLines="0" tabSelected="1" workbookViewId="0">
      <selection activeCell="P55" sqref="P55"/>
    </sheetView>
  </sheetViews>
  <sheetFormatPr defaultRowHeight="14.4"/>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5</vt:i4>
      </vt:variant>
    </vt:vector>
  </HeadingPairs>
  <TitlesOfParts>
    <vt:vector size="9" baseType="lpstr">
      <vt:lpstr>Dataset</vt:lpstr>
      <vt:lpstr>Pivot</vt:lpstr>
      <vt:lpstr>Rough</vt:lpstr>
      <vt:lpstr>Dashboard</vt:lpstr>
      <vt:lpstr>Average_of_Age</vt:lpstr>
      <vt:lpstr>Average_of_Hospital_Stay__Days</vt:lpstr>
      <vt:lpstr>Average_of_Recovery_Score</vt:lpstr>
      <vt:lpstr>Average_of_Treatment_Cost</vt:lpstr>
      <vt:lpstr>Total_Patients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CHELLADURAI MURALI</dc:creator>
  <cp:lastModifiedBy>CHELLADURAI MURALI</cp:lastModifiedBy>
  <dcterms:created xsi:type="dcterms:W3CDTF">2025-11-01T06:16:09Z</dcterms:created>
  <dcterms:modified xsi:type="dcterms:W3CDTF">2025-11-03T16:12:25Z</dcterms:modified>
</cp:coreProperties>
</file>